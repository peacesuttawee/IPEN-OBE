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rocessed_data" sheetId="2" r:id="rId6"/>
    <sheet state="visible" name="Course_Info" sheetId="3" r:id="rId7"/>
    <sheet state="visible" name="CLO_Assessment" sheetId="4" r:id="rId8"/>
    <sheet state="visible" name="PO_PI_Master" sheetId="5" r:id="rId9"/>
    <sheet state="visible" name="Instructors" sheetId="6" r:id="rId10"/>
    <sheet state="visible" name="File_Storage" sheetId="7" r:id="rId11"/>
    <sheet state="visible" name="Dashboard_Data" sheetId="8" r:id="rId12"/>
    <sheet state="visible" name="Settings" sheetId="9" r:id="rId13"/>
  </sheets>
  <definedNames/>
  <calcPr/>
</workbook>
</file>

<file path=xl/sharedStrings.xml><?xml version="1.0" encoding="utf-8"?>
<sst xmlns="http://schemas.openxmlformats.org/spreadsheetml/2006/main" count="440" uniqueCount="260">
  <si>
    <t>IPEN CLO-PO/PI Assessment Database Template</t>
  </si>
  <si>
    <t>Workbook Structure</t>
  </si>
  <si>
    <t>หลักสูตรวิศวกรรมไฟฟ้าและการจัดการอุตสาหกรรม</t>
  </si>
  <si>
    <t>Sheet</t>
  </si>
  <si>
    <t>Purpose</t>
  </si>
  <si>
    <t>Input?</t>
  </si>
  <si>
    <t>Course_Info</t>
  </si>
  <si>
    <t>ข้อมูลรายวิชา</t>
  </si>
  <si>
    <t>Yes</t>
  </si>
  <si>
    <t>วิธีใช้งาน</t>
  </si>
  <si>
    <t>รายละเอียด</t>
  </si>
  <si>
    <t>CLO_Assessment</t>
  </si>
  <si>
    <t>ข้อมูล CLO/PO/PI และผลลัพธ์</t>
  </si>
  <si>
    <t>1</t>
  </si>
  <si>
    <t>อัปโหลดไฟล์นี้เข้า Google Drive แล้วเปิดด้วย Google Sheets</t>
  </si>
  <si>
    <t>PO_PI_Master</t>
  </si>
  <si>
    <t>รายการ PO/PI สำหรับ dropdown</t>
  </si>
  <si>
    <t>Master</t>
  </si>
  <si>
    <t>2</t>
  </si>
  <si>
    <t>กรอกข้อมูลรายวิชาใน sheet Course_Info</t>
  </si>
  <si>
    <t>Instructors</t>
  </si>
  <si>
    <t>รายชื่อผู้สอน</t>
  </si>
  <si>
    <t>3</t>
  </si>
  <si>
    <t>กรอกข้อมูล CLO รายตัวใน sheet CLO_Assessment โดย 1 CLO = 1 row</t>
  </si>
  <si>
    <t>File_Storage</t>
  </si>
  <si>
    <t>ลิงก์ไฟล์หลักฐาน</t>
  </si>
  <si>
    <t>4</t>
  </si>
  <si>
    <t>ใช้ PO_PI_Master เป็นฐานข้อมูล dropdown ของ PO และ PI</t>
  </si>
  <si>
    <t>Dashboard_Data</t>
  </si>
  <si>
    <t>สรุปผล attainment</t>
  </si>
  <si>
    <t>Formula</t>
  </si>
  <si>
    <t>5</t>
  </si>
  <si>
    <t>ใส่ลิงก์ไฟล์หลักฐานใน File_Storage หรือคอลัมน์ไฟล์ใน CLO_Assessment</t>
  </si>
  <si>
    <t>Settings</t>
  </si>
  <si>
    <t>ค่าตั้งต้นระบบ</t>
  </si>
  <si>
    <t>6</t>
  </si>
  <si>
    <t>Dashboard_Data ใช้สรุปค่า PI/PO attainment ต่อปีการศึกษา</t>
  </si>
  <si>
    <t>หมายเหตุ</t>
  </si>
  <si>
    <t>โครงสร้างนี้ออกแบบให้ต่อกับ Google Apps Script และ Web App ได้โดยตรง</t>
  </si>
  <si>
    <t>เวอร์ชัน</t>
  </si>
  <si>
    <t>Template generated 2026-05-14</t>
  </si>
  <si>
    <t>Timestamp</t>
  </si>
  <si>
    <t>ปีการศึกษา</t>
  </si>
  <si>
    <t>ภาคการศึกษา</t>
  </si>
  <si>
    <t>รหัสวิชา</t>
  </si>
  <si>
    <t>ชื่อวิชา</t>
  </si>
  <si>
    <t>คำอธิบายรายวิชา</t>
  </si>
  <si>
    <t>ชื่อผู้สอน</t>
  </si>
  <si>
    <t>Email ผู้สอน</t>
  </si>
  <si>
    <t>CLO1 Description</t>
  </si>
  <si>
    <t>CLO1 PO</t>
  </si>
  <si>
    <t>CLO1 PO Description</t>
  </si>
  <si>
    <t>CLO1 PI</t>
  </si>
  <si>
    <t>CLO1 PI Description</t>
  </si>
  <si>
    <t>CLO1 Assessment Method</t>
  </si>
  <si>
    <t>CLO1 Target (%)</t>
  </si>
  <si>
    <t>CLO1 Attainment (%)</t>
  </si>
  <si>
    <t>CLO1 Average Score (%)</t>
  </si>
  <si>
    <t>CLO1 Exam File URL</t>
  </si>
  <si>
    <t>CLO1 Answer File URL</t>
  </si>
  <si>
    <t>CLO1 Comment</t>
  </si>
  <si>
    <t>CLO2 Description</t>
  </si>
  <si>
    <t>CLO2 PO</t>
  </si>
  <si>
    <t>CLO2 PO Description</t>
  </si>
  <si>
    <t>CLO2 PI</t>
  </si>
  <si>
    <t>CLO2 PI Description</t>
  </si>
  <si>
    <t>CLO2 Assessment Method</t>
  </si>
  <si>
    <t>CLO2 Target (%)</t>
  </si>
  <si>
    <t>CLO2 Attainment (%)</t>
  </si>
  <si>
    <t>CLO2 Average Score (%)</t>
  </si>
  <si>
    <t>CLO2 Exam File URL</t>
  </si>
  <si>
    <t>CLO2 Answer File URL</t>
  </si>
  <si>
    <t>CLO2 Comment</t>
  </si>
  <si>
    <t>CLO3 Description</t>
  </si>
  <si>
    <t>CLO3 PO</t>
  </si>
  <si>
    <t>CLO3 PO Description</t>
  </si>
  <si>
    <t>CLO3 PI</t>
  </si>
  <si>
    <t>CLO3 PI Description</t>
  </si>
  <si>
    <t>CLO3 Assessment Method</t>
  </si>
  <si>
    <t>CLO3 Target (%)</t>
  </si>
  <si>
    <t>CLO3 Attainment (%)</t>
  </si>
  <si>
    <t>CLO3 Average Score (%)</t>
  </si>
  <si>
    <t>CLO3 Exam File URL</t>
  </si>
  <si>
    <t>CLO3 Answer File URL</t>
  </si>
  <si>
    <t>CLO3 Comment</t>
  </si>
  <si>
    <t>CLO4 Description</t>
  </si>
  <si>
    <t>CLO4 PO</t>
  </si>
  <si>
    <t>CLO4 PO Description</t>
  </si>
  <si>
    <t>CLO4 PI</t>
  </si>
  <si>
    <t>CLO4 PI Description</t>
  </si>
  <si>
    <t>CLO4 Assessment Method</t>
  </si>
  <si>
    <t>CLO4 Target (%)</t>
  </si>
  <si>
    <t>CLO4 Attainment (%)</t>
  </si>
  <si>
    <t>CLO4 Average Score (%)</t>
  </si>
  <si>
    <t>CLO4 Exam File URL</t>
  </si>
  <si>
    <t>CLO4 Answer File URL</t>
  </si>
  <si>
    <t>CLO4 Comment</t>
  </si>
  <si>
    <t>CLO5 Description</t>
  </si>
  <si>
    <t>CLO5 PO</t>
  </si>
  <si>
    <t>CLO5 PO Description</t>
  </si>
  <si>
    <t>CLO5 PI</t>
  </si>
  <si>
    <t>CLO5 PI Description</t>
  </si>
  <si>
    <t>CLO5 Assessment Method</t>
  </si>
  <si>
    <t>CLO5 Target (%)</t>
  </si>
  <si>
    <t>CLO5 Attainment (%)</t>
  </si>
  <si>
    <t>CLO5 Average Score (%)</t>
  </si>
  <si>
    <t>CLO5 Exam File URL</t>
  </si>
  <si>
    <t>CLO5 Answer File URL</t>
  </si>
  <si>
    <t>CLO5 Comment</t>
  </si>
  <si>
    <t>CLO1 Question Paper File URL</t>
  </si>
  <si>
    <t>CLO2 Question Paper File URL</t>
  </si>
  <si>
    <t>CLO3 Question Paper File URL</t>
  </si>
  <si>
    <t>CLO4 Question Paper File URL</t>
  </si>
  <si>
    <t>CLO5 Question Paper File URL</t>
  </si>
  <si>
    <t>CourseID</t>
  </si>
  <si>
    <t>PDF_Report_URL</t>
  </si>
  <si>
    <t>DOC_Report_URL</t>
  </si>
  <si>
    <t>AcademicYear</t>
  </si>
  <si>
    <t>Semester</t>
  </si>
  <si>
    <t>CourseCode</t>
  </si>
  <si>
    <t>CourseName</t>
  </si>
  <si>
    <t>Instructor</t>
  </si>
  <si>
    <t>Description</t>
  </si>
  <si>
    <t>Status</t>
  </si>
  <si>
    <t>CourseDescription</t>
  </si>
  <si>
    <t>InstructorName</t>
  </si>
  <si>
    <t>InstructorEmail</t>
  </si>
  <si>
    <t>ProgramName</t>
  </si>
  <si>
    <t>CreatedAt</t>
  </si>
  <si>
    <t>UpdatedAt</t>
  </si>
  <si>
    <t>EIM313-2567-1/2567</t>
  </si>
  <si>
    <t>EIM313</t>
  </si>
  <si>
    <t>Digital Signal Processing</t>
  </si>
  <si>
    <t>Draft</t>
  </si>
  <si>
    <t>Introduction to Digital Signal Processing.</t>
  </si>
  <si>
    <t>Electronic Engineering and Intelligent Technology</t>
  </si>
  <si>
    <t>AssessmentID</t>
  </si>
  <si>
    <t>CLO_Number</t>
  </si>
  <si>
    <t>CLO_Description</t>
  </si>
  <si>
    <t>PO</t>
  </si>
  <si>
    <t>PI</t>
  </si>
  <si>
    <t>PI_Description</t>
  </si>
  <si>
    <t>Assessment_Result</t>
  </si>
  <si>
    <t>Target_Percent</t>
  </si>
  <si>
    <t>Attainment_Percent</t>
  </si>
  <si>
    <t>Exam_File_URL</t>
  </si>
  <si>
    <t>Question_Paper_File_URL</t>
  </si>
  <si>
    <t>Comment</t>
  </si>
  <si>
    <t>Assessor</t>
  </si>
  <si>
    <t>Evidence_Status</t>
  </si>
  <si>
    <t>Remark</t>
  </si>
  <si>
    <t>PO_Description</t>
  </si>
  <si>
    <t>Assessment_Method</t>
  </si>
  <si>
    <t>Average_Score_Percent</t>
  </si>
  <si>
    <t>CLO1</t>
  </si>
  <si>
    <t>[5yjpyojtypjnypnjpnojnpjp</t>
  </si>
  <si>
    <t>PO7</t>
  </si>
  <si>
    <t>PI7.1</t>
  </si>
  <si>
    <t>อธิบายแนวคิด ข้อมูล หรือผลการทำงานทางวิศวกรรมให้ผู้อื่นเข้าใจได้อย่างชัดเจน</t>
  </si>
  <si>
    <t>การติดต่อสื่อสาร</t>
  </si>
  <si>
    <t>Exam</t>
  </si>
  <si>
    <t>Students can design intelligent digital signal processing systems.</t>
  </si>
  <si>
    <t>PO1</t>
  </si>
  <si>
    <t>PI1.1</t>
  </si>
  <si>
    <t>อธิบายหลักการพื้นฐานทางวิทยาศาสตร์ที่เกี่ยวข้องกับพื้นฐานด้านวิศวกรรมศาสตร์ได้อย่างถูกต้อง</t>
  </si>
  <si>
    <t>ความรู้ทางด้านวิศวกรรม คณิตศาสตร์และวิทยาศาสตร์</t>
  </si>
  <si>
    <t>Final Exam</t>
  </si>
  <si>
    <t>The students performed well.</t>
  </si>
  <si>
    <t>ประยุกต์ใช้คณิตศาสตร์ วิทยาศาสตร์ และหลักการทางวิศวกรรมในการแก้ปัญหาทางวิศวกรรม</t>
  </si>
  <si>
    <t>PI1.2</t>
  </si>
  <si>
    <t>วิเคราะห์ปัญหาทางวิศวกรรมโดยใช้ความรู้พื้นฐานและความรู้เฉพาะทางอย่างเหมาะสม</t>
  </si>
  <si>
    <t>PI1.3</t>
  </si>
  <si>
    <t>เลือกใช้ทฤษฎี แบบจำลอง หรือเครื่องมือคำนวณที่เหมาะสมกับปัญหา</t>
  </si>
  <si>
    <t>PI1.4</t>
  </si>
  <si>
    <t>แปลผลลัพธ์การคำนวณหรือการวิเคราะห์เชิงวิศวกรรมได้อย่างถูกต้อง</t>
  </si>
  <si>
    <t>PO2</t>
  </si>
  <si>
    <t>PI2.1</t>
  </si>
  <si>
    <t>ระบุและนิยามปัญหาทางวิศวกรรมจากข้อมูลหรือข้อกำหนดที่ได้รับ</t>
  </si>
  <si>
    <t>PI2.2</t>
  </si>
  <si>
    <t>วิเคราะห์ข้อจำกัด เงื่อนไข และปัจจัยที่เกี่ยวข้องกับปัญหา</t>
  </si>
  <si>
    <t>PI2.3</t>
  </si>
  <si>
    <t>สังเคราะห์แนวทางแก้ปัญหาที่เป็นไปได้โดยอาศัยหลักการทางวิศวกรรม</t>
  </si>
  <si>
    <t>PI2.4</t>
  </si>
  <si>
    <t>ประเมินและเลือกแนวทางแก้ปัญหาที่เหมาะสมตามเกณฑ์ที่กำหนด</t>
  </si>
  <si>
    <t>PO3</t>
  </si>
  <si>
    <t>PI3.1</t>
  </si>
  <si>
    <t>ออกแบบระบบ องค์ประกอบ หรือกระบวนการทางวิศวกรรมตามความต้องการที่กำหนด</t>
  </si>
  <si>
    <t>PI3.2</t>
  </si>
  <si>
    <t>พิจารณาข้อจำกัดด้านเศรษฐศาสตร์ ความปลอดภัย สิ่งแวดล้อม มาตรฐาน และสังคมในการออกแบบ</t>
  </si>
  <si>
    <t>PI3.3</t>
  </si>
  <si>
    <t>นำเสนอผลการออกแบบพร้อมเหตุผลสนับสนุนและหลักฐานเชิงวิศวกรรม</t>
  </si>
  <si>
    <t>PO4</t>
  </si>
  <si>
    <t>PI4.1</t>
  </si>
  <si>
    <t>ออกแบบการทดลอง การทดสอบ หรือวิธีการเก็บข้อมูลอย่างเหมาะสม</t>
  </si>
  <si>
    <t>PI4.2</t>
  </si>
  <si>
    <t>ใช้เครื่องมือ อุปกรณ์ หรือซอฟต์แวร์ในการทดลองและวิเคราะห์ข้อมูลได้ถูกต้อง</t>
  </si>
  <si>
    <t>PI4.3</t>
  </si>
  <si>
    <t>ตีความข้อมูลและสรุปผลการทดลองอย่างมีเหตุผล</t>
  </si>
  <si>
    <t>PO5</t>
  </si>
  <si>
    <t>PI5.1</t>
  </si>
  <si>
    <t>เลือกใช้เครื่องมือ เทคนิค ซอฟต์แวร์ หรือทรัพยากรทางวิศวกรรมที่เหมาะสม</t>
  </si>
  <si>
    <t>PI5.2</t>
  </si>
  <si>
    <t>ใช้งานเครื่องมือทางวิศวกรรมได้อย่างถูกต้อง ปลอดภัย และมีประสิทธิภาพ</t>
  </si>
  <si>
    <t>PI5.3</t>
  </si>
  <si>
    <t>ประเมินข้อจำกัดของเครื่องมือ แบบจำลอง หรือเทคโนโลยีที่ใช้</t>
  </si>
  <si>
    <t>PO6</t>
  </si>
  <si>
    <t>PI6.1</t>
  </si>
  <si>
    <t>วิเคราะห์ผลกระทบของงานวิศวกรรมต่อสังคม เศรษฐกิจ สิ่งแวดล้อม และความปลอดภัย</t>
  </si>
  <si>
    <t>PI6.2</t>
  </si>
  <si>
    <t>ตัดสินใจโดยคำนึงถึงจริยธรรม ความรับผิดชอบ และมาตรฐานวิชาชีพ</t>
  </si>
  <si>
    <t>PI6.3</t>
  </si>
  <si>
    <t>เสนอแนวทางที่สอดคล้องกับความยั่งยืนและประโยชน์สาธารณะ</t>
  </si>
  <si>
    <t>สื่อสารข้อมูลทางวิศวกรรมด้วยการเขียน รายงาน หรือเอกสารวิชาชีพได้ชัดเจน</t>
  </si>
  <si>
    <t>PI7.2</t>
  </si>
  <si>
    <t>นำเสนอ อภิปราย และตอบคำถามทางวิศวกรรมได้อย่างเหมาะสม</t>
  </si>
  <si>
    <t>PO8</t>
  </si>
  <si>
    <t>PI8.1</t>
  </si>
  <si>
    <t>ทำงานร่วมกับผู้อื่นในทีมได้อย่างมีบทบาทและความรับผิดชอบ</t>
  </si>
  <si>
    <t>PI8.2</t>
  </si>
  <si>
    <t>บริหารความขัดแย้ง ประสานงาน และสนับสนุนการทำงานของทีมให้บรรลุเป้าหมาย</t>
  </si>
  <si>
    <t>PO9</t>
  </si>
  <si>
    <t>PI9.1</t>
  </si>
  <si>
    <t>แสดงความเข้าใจต่อความจำเป็นในการเรียนรู้ตลอดชีวิตและการพัฒนาตนเอง</t>
  </si>
  <si>
    <t>PI9.2</t>
  </si>
  <si>
    <t>ค้นคว้าและเรียนรู้ความรู้หรือเทคโนโลยีใหม่เพื่อนำมาประยุกต์ใช้</t>
  </si>
  <si>
    <t>PO10</t>
  </si>
  <si>
    <t>PI10.1</t>
  </si>
  <si>
    <t>เข้าใจหลักการบริหารจัดการโครงการ วิศวกรรม เศรษฐศาสตร์ และการตัดสินใจเบื้องต้น</t>
  </si>
  <si>
    <t>PI10.2</t>
  </si>
  <si>
    <t>วางแผน ติดตาม หรือประเมินงานโดยคำนึงถึงทรัพยากร เวลา ต้นทุน และความเสี่ยง</t>
  </si>
  <si>
    <t>PO11</t>
  </si>
  <si>
    <t>PI11.1</t>
  </si>
  <si>
    <t>ตระหนักถึงกฎหมาย มาตรฐาน ความปลอดภัย และจริยธรรมที่เกี่ยวข้องกับวิชาชีพวิศวกรรม</t>
  </si>
  <si>
    <t>PI11.2</t>
  </si>
  <si>
    <t>ปฏิบัติงานหรือเสนอแนวทางโดยสอดคล้องกับจรรยาบรรณและความรับผิดชอบทางวิชาชีพ</t>
  </si>
  <si>
    <t>InstructorID</t>
  </si>
  <si>
    <t>Name</t>
  </si>
  <si>
    <t>Email</t>
  </si>
  <si>
    <t>Department</t>
  </si>
  <si>
    <t>FileID</t>
  </si>
  <si>
    <t>FileType</t>
  </si>
  <si>
    <t>FileName</t>
  </si>
  <si>
    <t>DriveURL</t>
  </si>
  <si>
    <t>CLO</t>
  </si>
  <si>
    <t>FolderURL</t>
  </si>
  <si>
    <t>MimeType</t>
  </si>
  <si>
    <t>Avg_Attainment</t>
  </si>
  <si>
    <t>Target</t>
  </si>
  <si>
    <t>Course_Count</t>
  </si>
  <si>
    <t>Evidence_Count</t>
  </si>
  <si>
    <t>Key</t>
  </si>
  <si>
    <t>Value</t>
  </si>
  <si>
    <t>DefaultAcademicYear</t>
  </si>
  <si>
    <t>DefaultSemester</t>
  </si>
  <si>
    <t>TargetThreshold</t>
  </si>
  <si>
    <t>EvidenceFolderName</t>
  </si>
  <si>
    <t>IPEN CLO-POPI Evidence</t>
  </si>
  <si>
    <t>PDFReportFolderName</t>
  </si>
  <si>
    <t>IPEN CLO-POPI PDF Reports</t>
  </si>
  <si>
    <t>CLOCount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</si>
</sst>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yyyy"/>
  </numFmts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b/>
      <color rgb="FFFFFFFF"/>
      <name val="Carlito"/>
      <scheme val="minor"/>
    </font>
    <font>
      <u/>
      <sz val="11.0"/>
      <color rgb="FF467886"/>
      <name val="Carlito"/>
    </font>
    <font>
      <u/>
      <sz val="11.0"/>
      <color rgb="FF467886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  <fill>
      <patternFill patternType="solid">
        <fgColor rgb="FF0F766E"/>
        <bgColor rgb="FF0F766E"/>
      </patternFill>
    </fill>
    <fill>
      <patternFill patternType="solid">
        <fgColor rgb="FF334155"/>
        <bgColor rgb="FF334155"/>
      </patternFill>
    </fill>
    <fill>
      <patternFill patternType="solid">
        <fgColor rgb="FF111827"/>
        <bgColor rgb="FF111827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horizontal="center"/>
    </xf>
    <xf borderId="0" fillId="0" fontId="2" numFmtId="0" xfId="0" applyAlignment="1" applyFont="1">
      <alignment shrinkToFit="0" wrapText="1"/>
    </xf>
    <xf borderId="0" fillId="4" fontId="1" numFmtId="0" xfId="0" applyFill="1" applyFont="1"/>
    <xf borderId="0" fillId="0" fontId="3" numFmtId="0" xfId="0" applyFont="1"/>
    <xf borderId="0" fillId="5" fontId="4" numFmtId="0" xfId="0" applyAlignment="1" applyFill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1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374151"/>
      </font>
      <fill>
        <patternFill patternType="solid">
          <fgColor rgb="FFE5E7EB"/>
          <bgColor rgb="FFE5E7EB"/>
        </patternFill>
      </fill>
      <border/>
    </dxf>
  </dxfs>
  <tableStyles count="7">
    <tableStyle count="3" pivot="0" name="Course_Info-style">
      <tableStyleElement dxfId="1" type="headerRow"/>
      <tableStyleElement dxfId="2" type="firstRowStripe"/>
      <tableStyleElement dxfId="3" type="secondRowStripe"/>
    </tableStyle>
    <tableStyle count="3" pivot="0" name="CLO_Assessment-style">
      <tableStyleElement dxfId="1" type="headerRow"/>
      <tableStyleElement dxfId="2" type="firstRowStripe"/>
      <tableStyleElement dxfId="3" type="secondRowStripe"/>
    </tableStyle>
    <tableStyle count="3" pivot="0" name="PO_PI_Master-style">
      <tableStyleElement dxfId="1" type="headerRow"/>
      <tableStyleElement dxfId="2" type="firstRowStripe"/>
      <tableStyleElement dxfId="3" type="secondRowStripe"/>
    </tableStyle>
    <tableStyle count="3" pivot="0" name="Instructors-style">
      <tableStyleElement dxfId="1" type="headerRow"/>
      <tableStyleElement dxfId="2" type="firstRowStripe"/>
      <tableStyleElement dxfId="3" type="secondRowStripe"/>
    </tableStyle>
    <tableStyle count="3" pivot="0" name="File_Storage-style">
      <tableStyleElement dxfId="1" type="headerRow"/>
      <tableStyleElement dxfId="2" type="firstRowStripe"/>
      <tableStyleElement dxfId="3" type="secondRowStripe"/>
    </tableStyle>
    <tableStyle count="3" pivot="0" name="Dashboard_Data-style">
      <tableStyleElement dxfId="1" type="headerRow"/>
      <tableStyleElement dxfId="2" type="firstRowStripe"/>
      <tableStyleElement dxfId="3" type="secondRowStripe"/>
    </tableStyle>
    <tableStyle count="3" pivot="0" name="Setting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00" displayName="Table_1" name="Table_1" id="1">
  <tableColumns count="16">
    <tableColumn name="CourseID" id="1"/>
    <tableColumn name="AcademicYear" id="2"/>
    <tableColumn name="Semester" id="3"/>
    <tableColumn name="CourseCode" id="4"/>
    <tableColumn name="CourseName" id="5"/>
    <tableColumn name="Instructor" id="6"/>
    <tableColumn name="Description" id="7"/>
    <tableColumn name="Timestamp" id="8"/>
    <tableColumn name="Status" id="9"/>
    <tableColumn name="PDF_Report_URL" id="10"/>
    <tableColumn name="CourseDescription" id="11"/>
    <tableColumn name="InstructorName" id="12"/>
    <tableColumn name="InstructorEmail" id="13"/>
    <tableColumn name="ProgramName" id="14"/>
    <tableColumn name="CreatedAt" id="15"/>
    <tableColumn name="UpdatedAt" id="16"/>
  </tableColumns>
  <tableStyleInfo name="Course_Info-style" showColumnStripes="0" showFirstColumn="1" showLastColumn="1" showRowStripes="1"/>
</table>
</file>

<file path=xl/tables/table2.xml><?xml version="1.0" encoding="utf-8"?>
<table xmlns="http://schemas.openxmlformats.org/spreadsheetml/2006/main" ref="A1:Y96" displayName="Table_2" name="Table_2" id="2">
  <tableColumns count="25">
    <tableColumn name="AssessmentID" id="1"/>
    <tableColumn name="CourseID" id="2"/>
    <tableColumn name="AcademicYear" id="3"/>
    <tableColumn name="Semester" id="4"/>
    <tableColumn name="CourseCode" id="5"/>
    <tableColumn name="CLO_Number" id="6"/>
    <tableColumn name="CLO_Description" id="7"/>
    <tableColumn name="PO" id="8"/>
    <tableColumn name="PI" id="9"/>
    <tableColumn name="PI_Description" id="10"/>
    <tableColumn name="Assessment_Result" id="11"/>
    <tableColumn name="Target_Percent" id="12"/>
    <tableColumn name="Attainment_Percent" id="13"/>
    <tableColumn name="Exam_File_URL" id="14"/>
    <tableColumn name="Question_Paper_File_URL" id="15"/>
    <tableColumn name="Comment" id="16"/>
    <tableColumn name="Assessor" id="17"/>
    <tableColumn name="Timestamp" id="18"/>
    <tableColumn name="Evidence_Status" id="19"/>
    <tableColumn name="Remark" id="20"/>
    <tableColumn name="PO_Description" id="21"/>
    <tableColumn name="Assessment_Method" id="22"/>
    <tableColumn name="CreatedAt" id="23"/>
    <tableColumn name="UpdatedAt" id="24"/>
    <tableColumn name="Average_Score_Percent" id="25"/>
  </tableColumns>
  <tableStyleInfo name="CLO_Assessment-style" showColumnStripes="0" showFirstColumn="1" showLastColumn="1" showRowStripes="1"/>
</table>
</file>

<file path=xl/tables/table3.xml><?xml version="1.0" encoding="utf-8"?>
<table xmlns="http://schemas.openxmlformats.org/spreadsheetml/2006/main" ref="A1:C31" displayName="Table_3" name="Table_3" id="3">
  <tableColumns count="3">
    <tableColumn name="PO" id="1"/>
    <tableColumn name="PI" id="2"/>
    <tableColumn name="Description" id="3"/>
  </tableColumns>
  <tableStyleInfo name="PO_PI_Master-style" showColumnStripes="0" showFirstColumn="1" showLastColumn="1" showRowStripes="1"/>
</table>
</file>

<file path=xl/tables/table4.xml><?xml version="1.0" encoding="utf-8"?>
<table xmlns="http://schemas.openxmlformats.org/spreadsheetml/2006/main" ref="A1:D100" displayName="Table_4" name="Table_4" id="4">
  <tableColumns count="4">
    <tableColumn name="InstructorID" id="1"/>
    <tableColumn name="Name" id="2"/>
    <tableColumn name="Email" id="3"/>
    <tableColumn name="Department" id="4"/>
  </tableColumns>
  <tableStyleInfo name="Instructors-style" showColumnStripes="0" showFirstColumn="1" showLastColumn="1" showRowStripes="1"/>
</table>
</file>

<file path=xl/tables/table5.xml><?xml version="1.0" encoding="utf-8"?>
<table xmlns="http://schemas.openxmlformats.org/spreadsheetml/2006/main" ref="A1:M100" displayName="Table_5" name="Table_5" id="5">
  <tableColumns count="13">
    <tableColumn name="FileID" id="1"/>
    <tableColumn name="CourseID" id="2"/>
    <tableColumn name="AcademicYear" id="3"/>
    <tableColumn name="Semester" id="4"/>
    <tableColumn name="CLO_Number" id="5"/>
    <tableColumn name="FileType" id="6"/>
    <tableColumn name="FileName" id="7"/>
    <tableColumn name="DriveURL" id="8"/>
    <tableColumn name="CourseCode" id="9"/>
    <tableColumn name="CLO" id="10"/>
    <tableColumn name="FolderURL" id="11"/>
    <tableColumn name="MimeType" id="12"/>
    <tableColumn name="CreatedAt" id="13"/>
  </tableColumns>
  <tableStyleInfo name="File_Storage-style" showColumnStripes="0" showFirstColumn="1" showLastColumn="1" showRowStripes="1"/>
</table>
</file>

<file path=xl/tables/table6.xml><?xml version="1.0" encoding="utf-8"?>
<table xmlns="http://schemas.openxmlformats.org/spreadsheetml/2006/main" ref="A1:J31" displayName="Table_6" name="Table_6" id="6">
  <tableColumns count="10">
    <tableColumn name="AcademicYear" id="1"/>
    <tableColumn name="Semester" id="2"/>
    <tableColumn name="PO" id="3"/>
    <tableColumn name="PI" id="4"/>
    <tableColumn name="PI_Description" id="5"/>
    <tableColumn name="Avg_Attainment" id="6"/>
    <tableColumn name="Target" id="7"/>
    <tableColumn name="Status" id="8"/>
    <tableColumn name="Course_Count" id="9"/>
    <tableColumn name="Evidence_Count" id="10"/>
  </tableColumns>
  <tableStyleInfo name="Dashboard_Data-style" showColumnStripes="0" showFirstColumn="1" showLastColumn="1" showRowStripes="1"/>
</table>
</file>

<file path=xl/tables/table7.xml><?xml version="1.0" encoding="utf-8"?>
<table xmlns="http://schemas.openxmlformats.org/spreadsheetml/2006/main" ref="A1:B20" displayName="Table_7" name="Table_7" id="7">
  <tableColumns count="2">
    <tableColumn name="Key" id="1"/>
    <tableColumn name="Value" id="2"/>
  </tableColumns>
  <tableStyleInfo name="Sett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41.38"/>
    <col customWidth="1" min="3" max="3" width="8.63"/>
    <col customWidth="1" min="4" max="4" width="16.5"/>
    <col customWidth="1" min="5" max="5" width="27.25"/>
    <col customWidth="1" min="6" max="6" width="9.63"/>
    <col customWidth="1" min="7" max="26" width="8.63"/>
  </cols>
  <sheetData>
    <row r="1" ht="27.75" customHeight="1">
      <c r="A1" s="1" t="s">
        <v>0</v>
      </c>
      <c r="B1" s="1"/>
      <c r="D1" s="2" t="s">
        <v>1</v>
      </c>
    </row>
    <row r="2">
      <c r="A2" s="3" t="s">
        <v>2</v>
      </c>
      <c r="B2" s="3"/>
      <c r="D2" s="4" t="s">
        <v>3</v>
      </c>
      <c r="E2" s="4" t="s">
        <v>4</v>
      </c>
      <c r="F2" s="4" t="s">
        <v>5</v>
      </c>
    </row>
    <row r="3">
      <c r="A3" s="3"/>
      <c r="B3" s="3"/>
      <c r="D3" s="5" t="s">
        <v>6</v>
      </c>
      <c r="E3" s="5" t="s">
        <v>7</v>
      </c>
      <c r="F3" s="5" t="s">
        <v>8</v>
      </c>
    </row>
    <row r="4">
      <c r="A4" s="3" t="s">
        <v>9</v>
      </c>
      <c r="B4" s="3" t="s">
        <v>10</v>
      </c>
      <c r="D4" s="5" t="s">
        <v>11</v>
      </c>
      <c r="E4" s="5" t="s">
        <v>12</v>
      </c>
      <c r="F4" s="5" t="s">
        <v>8</v>
      </c>
    </row>
    <row r="5">
      <c r="A5" s="3" t="s">
        <v>13</v>
      </c>
      <c r="B5" s="3" t="s">
        <v>14</v>
      </c>
      <c r="D5" s="5" t="s">
        <v>15</v>
      </c>
      <c r="E5" s="5" t="s">
        <v>16</v>
      </c>
      <c r="F5" s="5" t="s">
        <v>17</v>
      </c>
    </row>
    <row r="6">
      <c r="A6" s="3" t="s">
        <v>18</v>
      </c>
      <c r="B6" s="3" t="s">
        <v>19</v>
      </c>
      <c r="D6" s="5" t="s">
        <v>20</v>
      </c>
      <c r="E6" s="5" t="s">
        <v>21</v>
      </c>
      <c r="F6" s="5" t="s">
        <v>17</v>
      </c>
    </row>
    <row r="7">
      <c r="A7" s="3" t="s">
        <v>22</v>
      </c>
      <c r="B7" s="3" t="s">
        <v>23</v>
      </c>
      <c r="D7" s="5" t="s">
        <v>24</v>
      </c>
      <c r="E7" s="5" t="s">
        <v>25</v>
      </c>
      <c r="F7" s="5" t="s">
        <v>8</v>
      </c>
    </row>
    <row r="8">
      <c r="A8" s="3" t="s">
        <v>26</v>
      </c>
      <c r="B8" s="3" t="s">
        <v>27</v>
      </c>
      <c r="D8" s="5" t="s">
        <v>28</v>
      </c>
      <c r="E8" s="5" t="s">
        <v>29</v>
      </c>
      <c r="F8" s="5" t="s">
        <v>30</v>
      </c>
    </row>
    <row r="9">
      <c r="A9" s="3" t="s">
        <v>31</v>
      </c>
      <c r="B9" s="3" t="s">
        <v>32</v>
      </c>
      <c r="D9" s="5" t="s">
        <v>33</v>
      </c>
      <c r="E9" s="5" t="s">
        <v>34</v>
      </c>
      <c r="F9" s="5" t="s">
        <v>17</v>
      </c>
    </row>
    <row r="10">
      <c r="A10" s="3" t="s">
        <v>35</v>
      </c>
      <c r="B10" s="3" t="s">
        <v>36</v>
      </c>
    </row>
    <row r="11">
      <c r="A11" s="3" t="s">
        <v>37</v>
      </c>
      <c r="B11" s="3" t="s">
        <v>38</v>
      </c>
    </row>
    <row r="12">
      <c r="A12" s="3" t="s">
        <v>39</v>
      </c>
      <c r="B12" s="3" t="s">
        <v>40</v>
      </c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49</v>
      </c>
      <c r="J1" s="6" t="s">
        <v>50</v>
      </c>
      <c r="K1" s="6" t="s">
        <v>51</v>
      </c>
      <c r="L1" s="6" t="s">
        <v>52</v>
      </c>
      <c r="M1" s="6" t="s">
        <v>53</v>
      </c>
      <c r="N1" s="6" t="s">
        <v>54</v>
      </c>
      <c r="O1" s="6" t="s">
        <v>55</v>
      </c>
      <c r="P1" s="6" t="s">
        <v>56</v>
      </c>
      <c r="Q1" s="6" t="s">
        <v>57</v>
      </c>
      <c r="R1" s="6" t="s">
        <v>58</v>
      </c>
      <c r="S1" s="6" t="s">
        <v>59</v>
      </c>
      <c r="T1" s="6" t="s">
        <v>60</v>
      </c>
      <c r="U1" s="6" t="s">
        <v>61</v>
      </c>
      <c r="V1" s="6" t="s">
        <v>62</v>
      </c>
      <c r="W1" s="6" t="s">
        <v>63</v>
      </c>
      <c r="X1" s="6" t="s">
        <v>64</v>
      </c>
      <c r="Y1" s="6" t="s">
        <v>65</v>
      </c>
      <c r="Z1" s="6" t="s">
        <v>66</v>
      </c>
      <c r="AA1" s="6" t="s">
        <v>67</v>
      </c>
      <c r="AB1" s="6" t="s">
        <v>68</v>
      </c>
      <c r="AC1" s="6" t="s">
        <v>69</v>
      </c>
      <c r="AD1" s="6" t="s">
        <v>70</v>
      </c>
      <c r="AE1" s="6" t="s">
        <v>71</v>
      </c>
      <c r="AF1" s="6" t="s">
        <v>72</v>
      </c>
      <c r="AG1" s="6" t="s">
        <v>73</v>
      </c>
      <c r="AH1" s="6" t="s">
        <v>74</v>
      </c>
      <c r="AI1" s="6" t="s">
        <v>75</v>
      </c>
      <c r="AJ1" s="6" t="s">
        <v>76</v>
      </c>
      <c r="AK1" s="6" t="s">
        <v>77</v>
      </c>
      <c r="AL1" s="6" t="s">
        <v>78</v>
      </c>
      <c r="AM1" s="6" t="s">
        <v>79</v>
      </c>
      <c r="AN1" s="6" t="s">
        <v>80</v>
      </c>
      <c r="AO1" s="6" t="s">
        <v>81</v>
      </c>
      <c r="AP1" s="6" t="s">
        <v>82</v>
      </c>
      <c r="AQ1" s="6" t="s">
        <v>83</v>
      </c>
      <c r="AR1" s="6" t="s">
        <v>84</v>
      </c>
      <c r="AS1" s="6" t="s">
        <v>85</v>
      </c>
      <c r="AT1" s="6" t="s">
        <v>86</v>
      </c>
      <c r="AU1" s="6" t="s">
        <v>87</v>
      </c>
      <c r="AV1" s="6" t="s">
        <v>88</v>
      </c>
      <c r="AW1" s="6" t="s">
        <v>89</v>
      </c>
      <c r="AX1" s="6" t="s">
        <v>90</v>
      </c>
      <c r="AY1" s="6" t="s">
        <v>91</v>
      </c>
      <c r="AZ1" s="6" t="s">
        <v>92</v>
      </c>
      <c r="BA1" s="6" t="s">
        <v>93</v>
      </c>
      <c r="BB1" s="6" t="s">
        <v>94</v>
      </c>
      <c r="BC1" s="6" t="s">
        <v>95</v>
      </c>
      <c r="BD1" s="6" t="s">
        <v>96</v>
      </c>
      <c r="BE1" s="6" t="s">
        <v>97</v>
      </c>
      <c r="BF1" s="6" t="s">
        <v>98</v>
      </c>
      <c r="BG1" s="6" t="s">
        <v>99</v>
      </c>
      <c r="BH1" s="6" t="s">
        <v>100</v>
      </c>
      <c r="BI1" s="6" t="s">
        <v>101</v>
      </c>
      <c r="BJ1" s="6" t="s">
        <v>102</v>
      </c>
      <c r="BK1" s="6" t="s">
        <v>103</v>
      </c>
      <c r="BL1" s="6" t="s">
        <v>104</v>
      </c>
      <c r="BM1" s="6" t="s">
        <v>105</v>
      </c>
      <c r="BN1" s="6" t="s">
        <v>106</v>
      </c>
      <c r="BO1" s="6" t="s">
        <v>107</v>
      </c>
      <c r="BP1" s="6" t="s">
        <v>108</v>
      </c>
      <c r="BQ1" s="6" t="s">
        <v>109</v>
      </c>
      <c r="BR1" s="6" t="s">
        <v>110</v>
      </c>
      <c r="BS1" s="6" t="s">
        <v>111</v>
      </c>
      <c r="BT1" s="6" t="s">
        <v>112</v>
      </c>
      <c r="BU1" s="6" t="s">
        <v>113</v>
      </c>
      <c r="BV1" s="6" t="s">
        <v>114</v>
      </c>
      <c r="BW1" s="6" t="s">
        <v>115</v>
      </c>
      <c r="BX1" s="6" t="s">
        <v>116</v>
      </c>
    </row>
    <row r="2">
      <c r="A2" s="7"/>
    </row>
    <row r="3">
      <c r="A3" s="7"/>
    </row>
    <row r="4">
      <c r="A4" s="7"/>
    </row>
    <row r="5">
      <c r="A5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38"/>
    <col customWidth="1" min="2" max="2" width="9.63"/>
    <col customWidth="1" min="3" max="3" width="7.5"/>
    <col customWidth="1" min="4" max="4" width="9.75"/>
    <col customWidth="1" min="5" max="5" width="40.75"/>
    <col customWidth="1" min="6" max="6" width="8.13"/>
    <col customWidth="1" min="7" max="7" width="45.0"/>
    <col customWidth="1" min="8" max="8" width="9.0"/>
    <col customWidth="1" min="9" max="9" width="5.0"/>
    <col customWidth="1" min="10" max="10" width="13.88"/>
    <col customWidth="1" min="11" max="26" width="8.63"/>
  </cols>
  <sheetData>
    <row r="1" ht="27.75" customHeight="1">
      <c r="A1" s="8" t="s">
        <v>114</v>
      </c>
      <c r="B1" s="8" t="s">
        <v>117</v>
      </c>
      <c r="C1" s="8" t="s">
        <v>118</v>
      </c>
      <c r="D1" s="8" t="s">
        <v>119</v>
      </c>
      <c r="E1" s="8" t="s">
        <v>120</v>
      </c>
      <c r="F1" s="8" t="s">
        <v>121</v>
      </c>
      <c r="G1" s="8" t="s">
        <v>122</v>
      </c>
      <c r="H1" s="8" t="s">
        <v>41</v>
      </c>
      <c r="I1" s="8" t="s">
        <v>123</v>
      </c>
      <c r="J1" s="8" t="s">
        <v>115</v>
      </c>
      <c r="K1" s="9" t="s">
        <v>124</v>
      </c>
      <c r="L1" s="9" t="s">
        <v>125</v>
      </c>
      <c r="M1" s="9" t="s">
        <v>126</v>
      </c>
      <c r="N1" s="9" t="s">
        <v>127</v>
      </c>
      <c r="O1" s="9" t="s">
        <v>128</v>
      </c>
      <c r="P1" s="9" t="s">
        <v>129</v>
      </c>
    </row>
    <row r="2">
      <c r="A2" s="10" t="s">
        <v>130</v>
      </c>
      <c r="B2" s="10">
        <v>2567.0</v>
      </c>
      <c r="C2" s="11">
        <v>243619.0</v>
      </c>
      <c r="D2" s="10" t="s">
        <v>131</v>
      </c>
      <c r="E2" s="10" t="s">
        <v>132</v>
      </c>
      <c r="F2" s="12"/>
      <c r="G2" s="12"/>
      <c r="H2" s="13">
        <v>46161.31575363426</v>
      </c>
      <c r="I2" s="10" t="s">
        <v>133</v>
      </c>
      <c r="J2" s="10"/>
      <c r="K2" s="10" t="s">
        <v>134</v>
      </c>
      <c r="L2" s="10"/>
      <c r="M2" s="10"/>
      <c r="N2" s="10" t="s">
        <v>135</v>
      </c>
      <c r="O2" s="13">
        <v>46161.31575363426</v>
      </c>
      <c r="P2" s="13">
        <v>46161.31575363426</v>
      </c>
    </row>
    <row r="3">
      <c r="A3" s="10"/>
      <c r="B3" s="10"/>
      <c r="C3" s="10"/>
      <c r="D3" s="10"/>
      <c r="E3" s="10"/>
      <c r="F3" s="12"/>
      <c r="G3" s="12"/>
      <c r="H3" s="12"/>
      <c r="I3" s="10"/>
      <c r="J3" s="10"/>
      <c r="K3" s="10"/>
      <c r="L3" s="10"/>
      <c r="M3" s="10"/>
      <c r="N3" s="10"/>
      <c r="O3" s="13"/>
      <c r="P3" s="13"/>
    </row>
    <row r="4">
      <c r="A4" s="10"/>
      <c r="B4" s="10"/>
      <c r="C4" s="10"/>
      <c r="D4" s="10"/>
      <c r="E4" s="10"/>
      <c r="F4" s="12"/>
      <c r="G4" s="12"/>
      <c r="H4" s="12"/>
      <c r="I4" s="10"/>
      <c r="J4" s="10"/>
      <c r="K4" s="10"/>
      <c r="L4" s="10"/>
      <c r="M4" s="10"/>
      <c r="N4" s="10"/>
      <c r="O4" s="13"/>
      <c r="P4" s="13"/>
    </row>
    <row r="5">
      <c r="A5" s="10"/>
      <c r="B5" s="10"/>
      <c r="C5" s="10"/>
      <c r="D5" s="10"/>
      <c r="E5" s="10"/>
      <c r="F5" s="12"/>
      <c r="G5" s="12"/>
      <c r="H5" s="12"/>
      <c r="I5" s="10"/>
      <c r="J5" s="10"/>
      <c r="K5" s="10"/>
      <c r="L5" s="10"/>
      <c r="M5" s="10"/>
      <c r="N5" s="10"/>
      <c r="O5" s="13"/>
      <c r="P5" s="13"/>
    </row>
    <row r="6">
      <c r="A6" s="10"/>
      <c r="B6" s="10"/>
      <c r="C6" s="10"/>
      <c r="D6" s="10"/>
      <c r="E6" s="10"/>
      <c r="F6" s="12"/>
      <c r="G6" s="12"/>
      <c r="H6" s="12"/>
      <c r="I6" s="10"/>
      <c r="J6" s="14"/>
      <c r="K6" s="14"/>
      <c r="L6" s="14"/>
      <c r="M6" s="14"/>
      <c r="N6" s="14"/>
      <c r="O6" s="15"/>
      <c r="P6" s="15"/>
    </row>
    <row r="7">
      <c r="A7" s="10"/>
      <c r="B7" s="10"/>
      <c r="C7" s="10"/>
      <c r="D7" s="10"/>
      <c r="E7" s="10"/>
      <c r="F7" s="12"/>
      <c r="G7" s="12"/>
      <c r="H7" s="12"/>
      <c r="I7" s="10"/>
      <c r="J7" s="10"/>
      <c r="K7" s="10"/>
      <c r="L7" s="10"/>
      <c r="M7" s="10"/>
      <c r="N7" s="10"/>
      <c r="O7" s="13"/>
      <c r="P7" s="13"/>
    </row>
    <row r="8">
      <c r="A8" s="10"/>
      <c r="B8" s="10"/>
      <c r="C8" s="10"/>
      <c r="D8" s="10"/>
      <c r="E8" s="10"/>
      <c r="F8" s="12"/>
      <c r="G8" s="12"/>
      <c r="H8" s="12"/>
      <c r="I8" s="10"/>
      <c r="J8" s="10"/>
      <c r="K8" s="10"/>
      <c r="L8" s="10"/>
      <c r="M8" s="10"/>
      <c r="N8" s="10"/>
      <c r="O8" s="13"/>
      <c r="P8" s="13"/>
    </row>
    <row r="9">
      <c r="A9" s="10"/>
      <c r="B9" s="10"/>
      <c r="C9" s="10"/>
      <c r="D9" s="10"/>
      <c r="E9" s="10"/>
      <c r="F9" s="12"/>
      <c r="G9" s="12"/>
      <c r="H9" s="12"/>
      <c r="I9" s="10"/>
      <c r="J9" s="10"/>
      <c r="K9" s="10"/>
      <c r="L9" s="10"/>
      <c r="M9" s="10"/>
      <c r="N9" s="10"/>
      <c r="O9" s="13"/>
      <c r="P9" s="13"/>
    </row>
    <row r="10">
      <c r="A10" s="10"/>
      <c r="B10" s="10"/>
      <c r="C10" s="10"/>
      <c r="D10" s="10"/>
      <c r="E10" s="10"/>
      <c r="F10" s="12"/>
      <c r="G10" s="12"/>
      <c r="H10" s="12"/>
      <c r="I10" s="10"/>
      <c r="J10" s="12"/>
      <c r="K10" s="10"/>
      <c r="L10" s="10"/>
      <c r="M10" s="10"/>
      <c r="N10" s="10"/>
      <c r="O10" s="13"/>
      <c r="P10" s="13"/>
    </row>
    <row r="11">
      <c r="A11" s="10"/>
      <c r="B11" s="10"/>
      <c r="C11" s="10"/>
      <c r="D11" s="10"/>
      <c r="E11" s="10"/>
      <c r="F11" s="12"/>
      <c r="G11" s="12"/>
      <c r="H11" s="12"/>
      <c r="I11" s="10"/>
      <c r="J11" s="10"/>
      <c r="K11" s="10"/>
      <c r="L11" s="10"/>
      <c r="M11" s="10"/>
      <c r="N11" s="10"/>
      <c r="O11" s="13"/>
      <c r="P11" s="13"/>
    </row>
    <row r="12">
      <c r="A12" s="10"/>
      <c r="B12" s="10"/>
      <c r="C12" s="10"/>
      <c r="D12" s="10"/>
      <c r="E12" s="10"/>
      <c r="F12" s="12"/>
      <c r="G12" s="12"/>
      <c r="H12" s="12"/>
      <c r="I12" s="10"/>
      <c r="J12" s="12"/>
      <c r="K12" s="10"/>
      <c r="L12" s="10"/>
      <c r="M12" s="10"/>
      <c r="N12" s="10"/>
      <c r="O12" s="13"/>
      <c r="P12" s="13"/>
    </row>
    <row r="13">
      <c r="A13" s="10"/>
      <c r="B13" s="10"/>
      <c r="C13" s="10"/>
      <c r="D13" s="10"/>
      <c r="E13" s="10"/>
      <c r="F13" s="12"/>
      <c r="G13" s="12"/>
      <c r="H13" s="12"/>
      <c r="I13" s="10"/>
      <c r="J13" s="10"/>
      <c r="K13" s="10"/>
      <c r="L13" s="10"/>
      <c r="M13" s="10"/>
      <c r="N13" s="10"/>
      <c r="O13" s="13"/>
      <c r="P13" s="13"/>
    </row>
    <row r="14">
      <c r="A14" s="10"/>
      <c r="B14" s="10"/>
      <c r="C14" s="10"/>
      <c r="D14" s="10"/>
      <c r="E14" s="10"/>
      <c r="F14" s="12"/>
      <c r="G14" s="12"/>
      <c r="H14" s="12"/>
      <c r="I14" s="10"/>
      <c r="J14" s="10"/>
      <c r="K14" s="10"/>
      <c r="L14" s="10"/>
      <c r="M14" s="10"/>
      <c r="N14" s="10"/>
      <c r="O14" s="13"/>
      <c r="P14" s="13"/>
    </row>
    <row r="15">
      <c r="A15" s="10"/>
      <c r="B15" s="10"/>
      <c r="C15" s="10"/>
      <c r="D15" s="10"/>
      <c r="E15" s="10"/>
      <c r="F15" s="12"/>
      <c r="G15" s="12"/>
      <c r="H15" s="12"/>
      <c r="I15" s="10"/>
      <c r="J15" s="12"/>
      <c r="K15" s="10"/>
      <c r="L15" s="10"/>
      <c r="M15" s="10"/>
      <c r="N15" s="10"/>
      <c r="O15" s="13"/>
      <c r="P15" s="13"/>
    </row>
    <row r="16">
      <c r="A16" s="10"/>
      <c r="B16" s="10"/>
      <c r="C16" s="10"/>
      <c r="D16" s="10"/>
      <c r="E16" s="10"/>
      <c r="F16" s="12"/>
      <c r="G16" s="12"/>
      <c r="H16" s="12"/>
      <c r="I16" s="10"/>
      <c r="J16" s="12"/>
      <c r="K16" s="10"/>
      <c r="L16" s="10"/>
      <c r="M16" s="10"/>
      <c r="N16" s="10"/>
      <c r="O16" s="13"/>
      <c r="P16" s="13"/>
    </row>
    <row r="17">
      <c r="A17" s="10"/>
      <c r="B17" s="10"/>
      <c r="C17" s="10"/>
      <c r="D17" s="10"/>
      <c r="E17" s="10"/>
      <c r="F17" s="12"/>
      <c r="G17" s="12"/>
      <c r="H17" s="12"/>
      <c r="I17" s="10"/>
      <c r="J17" s="10"/>
      <c r="K17" s="10"/>
      <c r="L17" s="10"/>
      <c r="M17" s="10"/>
      <c r="N17" s="10"/>
      <c r="O17" s="13"/>
      <c r="P17" s="13"/>
    </row>
    <row r="18">
      <c r="A18" s="10"/>
      <c r="B18" s="10"/>
      <c r="C18" s="10"/>
      <c r="D18" s="10"/>
      <c r="E18" s="10"/>
      <c r="F18" s="12"/>
      <c r="G18" s="12"/>
      <c r="H18" s="12"/>
      <c r="I18" s="10"/>
      <c r="J18" s="10"/>
      <c r="K18" s="10"/>
      <c r="L18" s="10"/>
      <c r="M18" s="10"/>
      <c r="N18" s="10"/>
      <c r="O18" s="13"/>
      <c r="P18" s="13"/>
    </row>
    <row r="19">
      <c r="A19" s="10"/>
      <c r="B19" s="10"/>
      <c r="C19" s="10"/>
      <c r="D19" s="10"/>
      <c r="E19" s="10"/>
      <c r="F19" s="12"/>
      <c r="G19" s="12"/>
      <c r="H19" s="12"/>
      <c r="I19" s="10"/>
      <c r="J19" s="10"/>
      <c r="K19" s="10"/>
      <c r="L19" s="10"/>
      <c r="M19" s="10"/>
      <c r="N19" s="10"/>
      <c r="O19" s="13"/>
      <c r="P19" s="13"/>
    </row>
    <row r="20">
      <c r="A20" s="10"/>
      <c r="B20" s="10"/>
      <c r="C20" s="10"/>
      <c r="D20" s="10"/>
      <c r="E20" s="10"/>
      <c r="F20" s="12"/>
      <c r="G20" s="12"/>
      <c r="H20" s="12"/>
      <c r="I20" s="10"/>
      <c r="J20" s="10"/>
      <c r="K20" s="10"/>
      <c r="L20" s="10"/>
      <c r="M20" s="10"/>
      <c r="N20" s="10"/>
      <c r="O20" s="13"/>
      <c r="P20" s="13"/>
    </row>
    <row r="21" ht="15.75" customHeight="1">
      <c r="A21" s="10"/>
      <c r="B21" s="10"/>
      <c r="C21" s="10"/>
      <c r="D21" s="10"/>
      <c r="E21" s="10"/>
      <c r="F21" s="12"/>
      <c r="G21" s="12"/>
      <c r="H21" s="12"/>
      <c r="I21" s="10"/>
      <c r="J21" s="10"/>
      <c r="K21" s="10"/>
      <c r="L21" s="10"/>
      <c r="M21" s="10"/>
      <c r="N21" s="10"/>
      <c r="O21" s="13"/>
      <c r="P21" s="13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6"/>
      <c r="L22" s="16"/>
      <c r="M22" s="16"/>
      <c r="N22" s="16"/>
      <c r="O22" s="16"/>
      <c r="P22" s="16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6"/>
      <c r="L23" s="16"/>
      <c r="M23" s="16"/>
      <c r="N23" s="16"/>
      <c r="O23" s="16"/>
      <c r="P23" s="16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6"/>
      <c r="L24" s="16"/>
      <c r="M24" s="16"/>
      <c r="N24" s="16"/>
      <c r="O24" s="16"/>
      <c r="P24" s="16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6"/>
      <c r="L25" s="16"/>
      <c r="M25" s="16"/>
      <c r="N25" s="16"/>
      <c r="O25" s="16"/>
      <c r="P25" s="16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6"/>
      <c r="L26" s="16"/>
      <c r="M26" s="16"/>
      <c r="N26" s="16"/>
      <c r="O26" s="16"/>
      <c r="P26" s="16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6"/>
      <c r="L27" s="16"/>
      <c r="M27" s="16"/>
      <c r="N27" s="16"/>
      <c r="O27" s="16"/>
      <c r="P27" s="16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6"/>
      <c r="L28" s="16"/>
      <c r="M28" s="16"/>
      <c r="N28" s="16"/>
      <c r="O28" s="16"/>
      <c r="P28" s="16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6"/>
      <c r="L29" s="16"/>
      <c r="M29" s="16"/>
      <c r="N29" s="16"/>
      <c r="O29" s="16"/>
      <c r="P29" s="16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6"/>
      <c r="L30" s="16"/>
      <c r="M30" s="16"/>
      <c r="N30" s="16"/>
      <c r="O30" s="16"/>
      <c r="P30" s="16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6"/>
      <c r="L31" s="16"/>
      <c r="M31" s="16"/>
      <c r="N31" s="16"/>
      <c r="O31" s="16"/>
      <c r="P31" s="16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6"/>
      <c r="L32" s="16"/>
      <c r="M32" s="16"/>
      <c r="N32" s="16"/>
      <c r="O32" s="16"/>
      <c r="P32" s="16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6"/>
      <c r="L33" s="16"/>
      <c r="M33" s="16"/>
      <c r="N33" s="16"/>
      <c r="O33" s="16"/>
      <c r="P33" s="16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6"/>
      <c r="L34" s="16"/>
      <c r="M34" s="16"/>
      <c r="N34" s="16"/>
      <c r="O34" s="16"/>
      <c r="P34" s="16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6"/>
      <c r="L35" s="16"/>
      <c r="M35" s="16"/>
      <c r="N35" s="16"/>
      <c r="O35" s="16"/>
      <c r="P35" s="16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6"/>
      <c r="L36" s="16"/>
      <c r="M36" s="16"/>
      <c r="N36" s="16"/>
      <c r="O36" s="16"/>
      <c r="P36" s="16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6"/>
      <c r="L37" s="16"/>
      <c r="M37" s="16"/>
      <c r="N37" s="16"/>
      <c r="O37" s="16"/>
      <c r="P37" s="16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6"/>
      <c r="L38" s="16"/>
      <c r="M38" s="16"/>
      <c r="N38" s="16"/>
      <c r="O38" s="16"/>
      <c r="P38" s="16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6"/>
      <c r="L39" s="16"/>
      <c r="M39" s="16"/>
      <c r="N39" s="16"/>
      <c r="O39" s="16"/>
      <c r="P39" s="16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6"/>
      <c r="L40" s="16"/>
      <c r="M40" s="16"/>
      <c r="N40" s="16"/>
      <c r="O40" s="16"/>
      <c r="P40" s="16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6"/>
      <c r="L41" s="16"/>
      <c r="M41" s="16"/>
      <c r="N41" s="16"/>
      <c r="O41" s="16"/>
      <c r="P41" s="16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6"/>
      <c r="L42" s="16"/>
      <c r="M42" s="16"/>
      <c r="N42" s="16"/>
      <c r="O42" s="16"/>
      <c r="P42" s="16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6"/>
      <c r="L43" s="16"/>
      <c r="M43" s="16"/>
      <c r="N43" s="16"/>
      <c r="O43" s="16"/>
      <c r="P43" s="16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6"/>
      <c r="L44" s="16"/>
      <c r="M44" s="16"/>
      <c r="N44" s="16"/>
      <c r="O44" s="16"/>
      <c r="P44" s="16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6"/>
      <c r="L45" s="16"/>
      <c r="M45" s="16"/>
      <c r="N45" s="16"/>
      <c r="O45" s="16"/>
      <c r="P45" s="16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6"/>
      <c r="L46" s="16"/>
      <c r="M46" s="16"/>
      <c r="N46" s="16"/>
      <c r="O46" s="16"/>
      <c r="P46" s="16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6"/>
      <c r="L47" s="16"/>
      <c r="M47" s="16"/>
      <c r="N47" s="16"/>
      <c r="O47" s="16"/>
      <c r="P47" s="16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6"/>
      <c r="L48" s="16"/>
      <c r="M48" s="16"/>
      <c r="N48" s="16"/>
      <c r="O48" s="16"/>
      <c r="P48" s="16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6"/>
      <c r="L49" s="16"/>
      <c r="M49" s="16"/>
      <c r="N49" s="16"/>
      <c r="O49" s="16"/>
      <c r="P49" s="16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6"/>
      <c r="L50" s="16"/>
      <c r="M50" s="16"/>
      <c r="N50" s="16"/>
      <c r="O50" s="16"/>
      <c r="P50" s="16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6"/>
      <c r="L51" s="16"/>
      <c r="M51" s="16"/>
      <c r="N51" s="16"/>
      <c r="O51" s="16"/>
      <c r="P51" s="16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6"/>
      <c r="L52" s="16"/>
      <c r="M52" s="16"/>
      <c r="N52" s="16"/>
      <c r="O52" s="16"/>
      <c r="P52" s="16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6"/>
      <c r="L53" s="16"/>
      <c r="M53" s="16"/>
      <c r="N53" s="16"/>
      <c r="O53" s="16"/>
      <c r="P53" s="16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6"/>
      <c r="L54" s="16"/>
      <c r="M54" s="16"/>
      <c r="N54" s="16"/>
      <c r="O54" s="16"/>
      <c r="P54" s="16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6"/>
      <c r="L55" s="16"/>
      <c r="M55" s="16"/>
      <c r="N55" s="16"/>
      <c r="O55" s="16"/>
      <c r="P55" s="16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6"/>
      <c r="L56" s="16"/>
      <c r="M56" s="16"/>
      <c r="N56" s="16"/>
      <c r="O56" s="16"/>
      <c r="P56" s="16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6"/>
      <c r="L57" s="16"/>
      <c r="M57" s="16"/>
      <c r="N57" s="16"/>
      <c r="O57" s="16"/>
      <c r="P57" s="16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6"/>
      <c r="L58" s="16"/>
      <c r="M58" s="16"/>
      <c r="N58" s="16"/>
      <c r="O58" s="16"/>
      <c r="P58" s="16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6"/>
      <c r="L59" s="16"/>
      <c r="M59" s="16"/>
      <c r="N59" s="16"/>
      <c r="O59" s="16"/>
      <c r="P59" s="16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6"/>
      <c r="L60" s="16"/>
      <c r="M60" s="16"/>
      <c r="N60" s="16"/>
      <c r="O60" s="16"/>
      <c r="P60" s="16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6"/>
      <c r="L61" s="16"/>
      <c r="M61" s="16"/>
      <c r="N61" s="16"/>
      <c r="O61" s="16"/>
      <c r="P61" s="16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6"/>
      <c r="L62" s="16"/>
      <c r="M62" s="16"/>
      <c r="N62" s="16"/>
      <c r="O62" s="16"/>
      <c r="P62" s="16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6"/>
      <c r="L63" s="16"/>
      <c r="M63" s="16"/>
      <c r="N63" s="16"/>
      <c r="O63" s="16"/>
      <c r="P63" s="16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6"/>
      <c r="L64" s="16"/>
      <c r="M64" s="16"/>
      <c r="N64" s="16"/>
      <c r="O64" s="16"/>
      <c r="P64" s="16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6"/>
      <c r="L65" s="16"/>
      <c r="M65" s="16"/>
      <c r="N65" s="16"/>
      <c r="O65" s="16"/>
      <c r="P65" s="16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6"/>
      <c r="L66" s="16"/>
      <c r="M66" s="16"/>
      <c r="N66" s="16"/>
      <c r="O66" s="16"/>
      <c r="P66" s="16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6"/>
      <c r="L67" s="16"/>
      <c r="M67" s="16"/>
      <c r="N67" s="16"/>
      <c r="O67" s="16"/>
      <c r="P67" s="16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6"/>
      <c r="L68" s="16"/>
      <c r="M68" s="16"/>
      <c r="N68" s="16"/>
      <c r="O68" s="16"/>
      <c r="P68" s="16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6"/>
      <c r="L69" s="16"/>
      <c r="M69" s="16"/>
      <c r="N69" s="16"/>
      <c r="O69" s="16"/>
      <c r="P69" s="16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6"/>
      <c r="L70" s="16"/>
      <c r="M70" s="16"/>
      <c r="N70" s="16"/>
      <c r="O70" s="16"/>
      <c r="P70" s="16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6"/>
      <c r="L71" s="16"/>
      <c r="M71" s="16"/>
      <c r="N71" s="16"/>
      <c r="O71" s="16"/>
      <c r="P71" s="16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6"/>
      <c r="L72" s="16"/>
      <c r="M72" s="16"/>
      <c r="N72" s="16"/>
      <c r="O72" s="16"/>
      <c r="P72" s="16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6"/>
      <c r="L73" s="16"/>
      <c r="M73" s="16"/>
      <c r="N73" s="16"/>
      <c r="O73" s="16"/>
      <c r="P73" s="16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6"/>
      <c r="L74" s="16"/>
      <c r="M74" s="16"/>
      <c r="N74" s="16"/>
      <c r="O74" s="16"/>
      <c r="P74" s="16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6"/>
      <c r="L75" s="16"/>
      <c r="M75" s="16"/>
      <c r="N75" s="16"/>
      <c r="O75" s="16"/>
      <c r="P75" s="16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6"/>
      <c r="L76" s="16"/>
      <c r="M76" s="16"/>
      <c r="N76" s="16"/>
      <c r="O76" s="16"/>
      <c r="P76" s="16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6"/>
      <c r="L77" s="16"/>
      <c r="M77" s="16"/>
      <c r="N77" s="16"/>
      <c r="O77" s="16"/>
      <c r="P77" s="16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6"/>
      <c r="L78" s="16"/>
      <c r="M78" s="16"/>
      <c r="N78" s="16"/>
      <c r="O78" s="16"/>
      <c r="P78" s="16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6"/>
      <c r="L79" s="16"/>
      <c r="M79" s="16"/>
      <c r="N79" s="16"/>
      <c r="O79" s="16"/>
      <c r="P79" s="16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6"/>
      <c r="L80" s="16"/>
      <c r="M80" s="16"/>
      <c r="N80" s="16"/>
      <c r="O80" s="16"/>
      <c r="P80" s="16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6"/>
      <c r="L81" s="16"/>
      <c r="M81" s="16"/>
      <c r="N81" s="16"/>
      <c r="O81" s="16"/>
      <c r="P81" s="16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6"/>
      <c r="L82" s="16"/>
      <c r="M82" s="16"/>
      <c r="N82" s="16"/>
      <c r="O82" s="16"/>
      <c r="P82" s="16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6"/>
      <c r="L83" s="16"/>
      <c r="M83" s="16"/>
      <c r="N83" s="16"/>
      <c r="O83" s="16"/>
      <c r="P83" s="16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6"/>
      <c r="L84" s="16"/>
      <c r="M84" s="16"/>
      <c r="N84" s="16"/>
      <c r="O84" s="16"/>
      <c r="P84" s="16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6"/>
      <c r="L85" s="16"/>
      <c r="M85" s="16"/>
      <c r="N85" s="16"/>
      <c r="O85" s="16"/>
      <c r="P85" s="16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6"/>
      <c r="L86" s="16"/>
      <c r="M86" s="16"/>
      <c r="N86" s="16"/>
      <c r="O86" s="16"/>
      <c r="P86" s="16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6"/>
      <c r="L87" s="16"/>
      <c r="M87" s="16"/>
      <c r="N87" s="16"/>
      <c r="O87" s="16"/>
      <c r="P87" s="16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6"/>
      <c r="L88" s="16"/>
      <c r="M88" s="16"/>
      <c r="N88" s="16"/>
      <c r="O88" s="16"/>
      <c r="P88" s="16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6"/>
      <c r="L89" s="16"/>
      <c r="M89" s="16"/>
      <c r="N89" s="16"/>
      <c r="O89" s="16"/>
      <c r="P89" s="16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6"/>
      <c r="L90" s="16"/>
      <c r="M90" s="16"/>
      <c r="N90" s="16"/>
      <c r="O90" s="16"/>
      <c r="P90" s="16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6"/>
      <c r="L91" s="16"/>
      <c r="M91" s="16"/>
      <c r="N91" s="16"/>
      <c r="O91" s="16"/>
      <c r="P91" s="16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6"/>
      <c r="L92" s="16"/>
      <c r="M92" s="16"/>
      <c r="N92" s="16"/>
      <c r="O92" s="16"/>
      <c r="P92" s="16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6"/>
      <c r="L93" s="16"/>
      <c r="M93" s="16"/>
      <c r="N93" s="16"/>
      <c r="O93" s="16"/>
      <c r="P93" s="16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6"/>
      <c r="L94" s="16"/>
      <c r="M94" s="16"/>
      <c r="N94" s="16"/>
      <c r="O94" s="16"/>
      <c r="P94" s="16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6"/>
      <c r="L95" s="16"/>
      <c r="M95" s="16"/>
      <c r="N95" s="16"/>
      <c r="O95" s="16"/>
      <c r="P95" s="16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6"/>
      <c r="L96" s="16"/>
      <c r="M96" s="16"/>
      <c r="N96" s="16"/>
      <c r="O96" s="16"/>
      <c r="P96" s="16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6"/>
      <c r="L97" s="16"/>
      <c r="M97" s="16"/>
      <c r="N97" s="16"/>
      <c r="O97" s="16"/>
      <c r="P97" s="16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6"/>
      <c r="L98" s="16"/>
      <c r="M98" s="16"/>
      <c r="N98" s="16"/>
      <c r="O98" s="16"/>
      <c r="P98" s="16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6"/>
      <c r="L99" s="16"/>
      <c r="M99" s="16"/>
      <c r="N99" s="16"/>
      <c r="O99" s="16"/>
      <c r="P99" s="16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6"/>
      <c r="L100" s="16"/>
      <c r="M100" s="16"/>
      <c r="N100" s="16"/>
      <c r="O100" s="16"/>
      <c r="P100" s="16"/>
    </row>
    <row r="101" ht="15.75" customHeight="1">
      <c r="C101" s="5"/>
      <c r="I101" s="5"/>
    </row>
    <row r="102" ht="15.75" customHeight="1">
      <c r="C102" s="5"/>
      <c r="I102" s="5"/>
    </row>
    <row r="103" ht="15.75" customHeight="1">
      <c r="C103" s="5"/>
      <c r="I103" s="5"/>
    </row>
    <row r="104" ht="15.75" customHeight="1">
      <c r="C104" s="5"/>
      <c r="I104" s="5"/>
    </row>
    <row r="105" ht="15.75" customHeight="1">
      <c r="C105" s="5"/>
      <c r="I105" s="5"/>
    </row>
    <row r="106" ht="15.75" customHeight="1">
      <c r="C106" s="5"/>
      <c r="I106" s="5"/>
    </row>
    <row r="107" ht="15.75" customHeight="1">
      <c r="C107" s="5"/>
      <c r="I107" s="5"/>
    </row>
    <row r="108" ht="15.75" customHeight="1">
      <c r="C108" s="5"/>
      <c r="I108" s="5"/>
    </row>
    <row r="109" ht="15.75" customHeight="1">
      <c r="C109" s="5"/>
      <c r="I109" s="5"/>
    </row>
    <row r="110" ht="15.75" customHeight="1">
      <c r="C110" s="5"/>
      <c r="I110" s="5"/>
    </row>
    <row r="111" ht="15.75" customHeight="1">
      <c r="C111" s="5"/>
      <c r="I111" s="5"/>
    </row>
    <row r="112" ht="15.75" customHeight="1">
      <c r="C112" s="5"/>
      <c r="I112" s="5"/>
    </row>
    <row r="113" ht="15.75" customHeight="1">
      <c r="C113" s="5"/>
      <c r="I113" s="5"/>
    </row>
    <row r="114" ht="15.75" customHeight="1">
      <c r="C114" s="5"/>
      <c r="I114" s="5"/>
    </row>
    <row r="115" ht="15.75" customHeight="1">
      <c r="C115" s="5"/>
      <c r="I115" s="5"/>
    </row>
    <row r="116" ht="15.75" customHeight="1">
      <c r="C116" s="5"/>
      <c r="I116" s="5"/>
    </row>
    <row r="117" ht="15.75" customHeight="1">
      <c r="C117" s="5"/>
      <c r="I117" s="5"/>
    </row>
    <row r="118" ht="15.75" customHeight="1">
      <c r="C118" s="5"/>
      <c r="I118" s="5"/>
    </row>
    <row r="119" ht="15.75" customHeight="1">
      <c r="C119" s="5"/>
      <c r="I119" s="5"/>
    </row>
    <row r="120" ht="15.75" customHeight="1">
      <c r="C120" s="5"/>
      <c r="I120" s="5"/>
    </row>
    <row r="121" ht="15.75" customHeight="1">
      <c r="C121" s="5"/>
      <c r="I121" s="5"/>
    </row>
    <row r="122" ht="15.75" customHeight="1">
      <c r="C122" s="5"/>
      <c r="I122" s="5"/>
    </row>
    <row r="123" ht="15.75" customHeight="1">
      <c r="C123" s="5"/>
      <c r="I123" s="5"/>
    </row>
    <row r="124" ht="15.75" customHeight="1">
      <c r="C124" s="5"/>
      <c r="I124" s="5"/>
    </row>
    <row r="125" ht="15.75" customHeight="1">
      <c r="C125" s="5"/>
      <c r="I125" s="5"/>
    </row>
    <row r="126" ht="15.75" customHeight="1">
      <c r="C126" s="5"/>
      <c r="I126" s="5"/>
    </row>
    <row r="127" ht="15.75" customHeight="1">
      <c r="C127" s="5"/>
      <c r="I127" s="5"/>
    </row>
    <row r="128" ht="15.75" customHeight="1">
      <c r="C128" s="5"/>
      <c r="I128" s="5"/>
    </row>
    <row r="129" ht="15.75" customHeight="1">
      <c r="C129" s="5"/>
      <c r="I129" s="5"/>
    </row>
    <row r="130" ht="15.75" customHeight="1">
      <c r="C130" s="5"/>
      <c r="I130" s="5"/>
    </row>
    <row r="131" ht="15.75" customHeight="1">
      <c r="C131" s="5"/>
      <c r="I131" s="5"/>
    </row>
    <row r="132" ht="15.75" customHeight="1">
      <c r="C132" s="5"/>
      <c r="I132" s="5"/>
    </row>
    <row r="133" ht="15.75" customHeight="1">
      <c r="C133" s="5"/>
      <c r="I133" s="5"/>
    </row>
    <row r="134" ht="15.75" customHeight="1">
      <c r="C134" s="5"/>
      <c r="I134" s="5"/>
    </row>
    <row r="135" ht="15.75" customHeight="1">
      <c r="C135" s="5"/>
      <c r="I135" s="5"/>
    </row>
    <row r="136" ht="15.75" customHeight="1">
      <c r="C136" s="5"/>
      <c r="I136" s="5"/>
    </row>
    <row r="137" ht="15.75" customHeight="1">
      <c r="C137" s="5"/>
      <c r="I137" s="5"/>
    </row>
    <row r="138" ht="15.75" customHeight="1">
      <c r="C138" s="5"/>
      <c r="I138" s="5"/>
    </row>
    <row r="139" ht="15.75" customHeight="1">
      <c r="C139" s="5"/>
      <c r="I139" s="5"/>
    </row>
    <row r="140" ht="15.75" customHeight="1">
      <c r="C140" s="5"/>
      <c r="I140" s="5"/>
    </row>
    <row r="141" ht="15.75" customHeight="1">
      <c r="C141" s="5"/>
      <c r="I141" s="5"/>
    </row>
    <row r="142" ht="15.75" customHeight="1">
      <c r="C142" s="5"/>
      <c r="I142" s="5"/>
    </row>
    <row r="143" ht="15.75" customHeight="1">
      <c r="C143" s="5"/>
      <c r="I143" s="5"/>
    </row>
    <row r="144" ht="15.75" customHeight="1">
      <c r="C144" s="5"/>
      <c r="I144" s="5"/>
    </row>
    <row r="145" ht="15.75" customHeight="1">
      <c r="C145" s="5"/>
      <c r="I145" s="5"/>
    </row>
    <row r="146" ht="15.75" customHeight="1">
      <c r="C146" s="5"/>
      <c r="I146" s="5"/>
    </row>
    <row r="147" ht="15.75" customHeight="1">
      <c r="C147" s="5"/>
      <c r="I147" s="5"/>
    </row>
    <row r="148" ht="15.75" customHeight="1">
      <c r="C148" s="5"/>
      <c r="I148" s="5"/>
    </row>
    <row r="149" ht="15.75" customHeight="1">
      <c r="C149" s="5"/>
      <c r="I149" s="5"/>
    </row>
    <row r="150" ht="15.75" customHeight="1">
      <c r="C150" s="5"/>
      <c r="I150" s="5"/>
    </row>
    <row r="151" ht="15.75" customHeight="1">
      <c r="C151" s="5"/>
      <c r="I151" s="5"/>
    </row>
    <row r="152" ht="15.75" customHeight="1">
      <c r="C152" s="5"/>
      <c r="I152" s="5"/>
    </row>
    <row r="153" ht="15.75" customHeight="1">
      <c r="C153" s="5"/>
      <c r="I153" s="5"/>
    </row>
    <row r="154" ht="15.75" customHeight="1">
      <c r="C154" s="5"/>
      <c r="I154" s="5"/>
    </row>
    <row r="155" ht="15.75" customHeight="1">
      <c r="C155" s="5"/>
      <c r="I155" s="5"/>
    </row>
    <row r="156" ht="15.75" customHeight="1">
      <c r="C156" s="5"/>
      <c r="I156" s="5"/>
    </row>
    <row r="157" ht="15.75" customHeight="1">
      <c r="C157" s="5"/>
      <c r="I157" s="5"/>
    </row>
    <row r="158" ht="15.75" customHeight="1">
      <c r="C158" s="5"/>
      <c r="I158" s="5"/>
    </row>
    <row r="159" ht="15.75" customHeight="1">
      <c r="C159" s="5"/>
      <c r="I159" s="5"/>
    </row>
    <row r="160" ht="15.75" customHeight="1">
      <c r="C160" s="5"/>
      <c r="I160" s="5"/>
    </row>
    <row r="161" ht="15.75" customHeight="1">
      <c r="C161" s="5"/>
      <c r="I161" s="5"/>
    </row>
    <row r="162" ht="15.75" customHeight="1">
      <c r="C162" s="5"/>
      <c r="I162" s="5"/>
    </row>
    <row r="163" ht="15.75" customHeight="1">
      <c r="C163" s="5"/>
      <c r="I163" s="5"/>
    </row>
    <row r="164" ht="15.75" customHeight="1">
      <c r="C164" s="5"/>
      <c r="I164" s="5"/>
    </row>
    <row r="165" ht="15.75" customHeight="1">
      <c r="C165" s="5"/>
      <c r="I165" s="5"/>
    </row>
    <row r="166" ht="15.75" customHeight="1">
      <c r="C166" s="5"/>
      <c r="I166" s="5"/>
    </row>
    <row r="167" ht="15.75" customHeight="1">
      <c r="C167" s="5"/>
      <c r="I167" s="5"/>
    </row>
    <row r="168" ht="15.75" customHeight="1">
      <c r="C168" s="5"/>
      <c r="I168" s="5"/>
    </row>
    <row r="169" ht="15.75" customHeight="1">
      <c r="C169" s="5"/>
      <c r="I169" s="5"/>
    </row>
    <row r="170" ht="15.75" customHeight="1">
      <c r="C170" s="5"/>
      <c r="I170" s="5"/>
    </row>
    <row r="171" ht="15.75" customHeight="1">
      <c r="C171" s="5"/>
      <c r="I171" s="5"/>
    </row>
    <row r="172" ht="15.75" customHeight="1">
      <c r="C172" s="5"/>
      <c r="I172" s="5"/>
    </row>
    <row r="173" ht="15.75" customHeight="1">
      <c r="C173" s="5"/>
      <c r="I173" s="5"/>
    </row>
    <row r="174" ht="15.75" customHeight="1">
      <c r="C174" s="5"/>
      <c r="I174" s="5"/>
    </row>
    <row r="175" ht="15.75" customHeight="1">
      <c r="C175" s="5"/>
      <c r="I175" s="5"/>
    </row>
    <row r="176" ht="15.75" customHeight="1">
      <c r="C176" s="5"/>
      <c r="I176" s="5"/>
    </row>
    <row r="177" ht="15.75" customHeight="1">
      <c r="C177" s="5"/>
      <c r="I177" s="5"/>
    </row>
    <row r="178" ht="15.75" customHeight="1">
      <c r="C178" s="5"/>
      <c r="I178" s="5"/>
    </row>
    <row r="179" ht="15.75" customHeight="1">
      <c r="C179" s="5"/>
      <c r="I179" s="5"/>
    </row>
    <row r="180" ht="15.75" customHeight="1">
      <c r="C180" s="5"/>
      <c r="I180" s="5"/>
    </row>
    <row r="181" ht="15.75" customHeight="1">
      <c r="C181" s="5"/>
      <c r="I181" s="5"/>
    </row>
    <row r="182" ht="15.75" customHeight="1">
      <c r="C182" s="5"/>
      <c r="I182" s="5"/>
    </row>
    <row r="183" ht="15.75" customHeight="1">
      <c r="C183" s="5"/>
      <c r="I183" s="5"/>
    </row>
    <row r="184" ht="15.75" customHeight="1">
      <c r="C184" s="5"/>
      <c r="I184" s="5"/>
    </row>
    <row r="185" ht="15.75" customHeight="1">
      <c r="C185" s="5"/>
      <c r="I185" s="5"/>
    </row>
    <row r="186" ht="15.75" customHeight="1">
      <c r="C186" s="5"/>
      <c r="I186" s="5"/>
    </row>
    <row r="187" ht="15.75" customHeight="1">
      <c r="C187" s="5"/>
      <c r="I187" s="5"/>
    </row>
    <row r="188" ht="15.75" customHeight="1">
      <c r="C188" s="5"/>
      <c r="I188" s="5"/>
    </row>
    <row r="189" ht="15.75" customHeight="1">
      <c r="C189" s="5"/>
      <c r="I189" s="5"/>
    </row>
    <row r="190" ht="15.75" customHeight="1">
      <c r="C190" s="5"/>
      <c r="I190" s="5"/>
    </row>
    <row r="191" ht="15.75" customHeight="1">
      <c r="C191" s="5"/>
      <c r="I191" s="5"/>
    </row>
    <row r="192" ht="15.75" customHeight="1">
      <c r="C192" s="5"/>
      <c r="I192" s="5"/>
    </row>
    <row r="193" ht="15.75" customHeight="1">
      <c r="C193" s="5"/>
      <c r="I193" s="5"/>
    </row>
    <row r="194" ht="15.75" customHeight="1">
      <c r="C194" s="5"/>
      <c r="I194" s="5"/>
    </row>
    <row r="195" ht="15.75" customHeight="1">
      <c r="C195" s="5"/>
      <c r="I195" s="5"/>
    </row>
    <row r="196" ht="15.75" customHeight="1">
      <c r="C196" s="5"/>
      <c r="I196" s="5"/>
    </row>
    <row r="197" ht="15.75" customHeight="1">
      <c r="C197" s="5"/>
      <c r="I197" s="5"/>
    </row>
    <row r="198" ht="15.75" customHeight="1">
      <c r="C198" s="5"/>
      <c r="I198" s="5"/>
    </row>
    <row r="199" ht="15.75" customHeight="1">
      <c r="C199" s="5"/>
      <c r="I199" s="5"/>
    </row>
    <row r="200" ht="15.75" customHeight="1">
      <c r="C200" s="5"/>
      <c r="I200" s="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2:I200">
      <formula1>"Draft,Submitted,Reviewed,Returned"</formula1>
    </dataValidation>
    <dataValidation type="list" allowBlank="1" sqref="C2:C200">
      <formula1>"1,2,summer"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8.25"/>
    <col customWidth="1" min="3" max="3" width="13.0"/>
    <col customWidth="1" min="4" max="4" width="8.63"/>
    <col customWidth="1" min="5" max="5" width="11.0"/>
    <col customWidth="1" min="6" max="6" width="11.5"/>
    <col customWidth="1" min="7" max="7" width="38.0"/>
    <col customWidth="1" min="8" max="8" width="8.0"/>
    <col customWidth="1" min="9" max="9" width="7.88"/>
    <col customWidth="1" min="10" max="10" width="38.0"/>
    <col customWidth="1" min="11" max="11" width="32.0"/>
    <col customWidth="1" min="12" max="12" width="12.25"/>
    <col customWidth="1" min="13" max="13" width="16.38"/>
    <col customWidth="1" min="14" max="14" width="12.38"/>
    <col customWidth="1" min="15" max="15" width="21.13"/>
    <col customWidth="1" min="16" max="16" width="32.0"/>
    <col customWidth="1" min="17" max="17" width="8.13"/>
    <col customWidth="1" min="18" max="18" width="9.0"/>
    <col customWidth="1" min="19" max="19" width="13.63"/>
    <col customWidth="1" min="20" max="20" width="6.25"/>
    <col customWidth="1" min="21" max="26" width="8.63"/>
  </cols>
  <sheetData>
    <row r="1" ht="27.75" customHeight="1">
      <c r="A1" s="8" t="s">
        <v>136</v>
      </c>
      <c r="B1" s="8" t="s">
        <v>114</v>
      </c>
      <c r="C1" s="8" t="s">
        <v>117</v>
      </c>
      <c r="D1" s="8" t="s">
        <v>118</v>
      </c>
      <c r="E1" s="8" t="s">
        <v>119</v>
      </c>
      <c r="F1" s="8" t="s">
        <v>137</v>
      </c>
      <c r="G1" s="8" t="s">
        <v>138</v>
      </c>
      <c r="H1" s="8" t="s">
        <v>139</v>
      </c>
      <c r="I1" s="8" t="s">
        <v>140</v>
      </c>
      <c r="J1" s="8" t="s">
        <v>141</v>
      </c>
      <c r="K1" s="8" t="s">
        <v>142</v>
      </c>
      <c r="L1" s="8" t="s">
        <v>143</v>
      </c>
      <c r="M1" s="8" t="s">
        <v>144</v>
      </c>
      <c r="N1" s="8" t="s">
        <v>145</v>
      </c>
      <c r="O1" s="8" t="s">
        <v>146</v>
      </c>
      <c r="P1" s="8" t="s">
        <v>147</v>
      </c>
      <c r="Q1" s="8" t="s">
        <v>148</v>
      </c>
      <c r="R1" s="8" t="s">
        <v>41</v>
      </c>
      <c r="S1" s="8" t="s">
        <v>149</v>
      </c>
      <c r="T1" s="8" t="s">
        <v>150</v>
      </c>
      <c r="U1" s="9" t="s">
        <v>151</v>
      </c>
      <c r="V1" s="9" t="s">
        <v>152</v>
      </c>
      <c r="W1" s="9" t="s">
        <v>128</v>
      </c>
      <c r="X1" s="9" t="s">
        <v>129</v>
      </c>
      <c r="Y1" s="9" t="s">
        <v>153</v>
      </c>
    </row>
    <row r="2">
      <c r="A2" s="10"/>
      <c r="B2" s="10"/>
      <c r="C2" s="10"/>
      <c r="D2" s="10"/>
      <c r="E2" s="10"/>
      <c r="F2" s="10" t="s">
        <v>154</v>
      </c>
      <c r="G2" s="10" t="s">
        <v>155</v>
      </c>
      <c r="H2" s="10" t="s">
        <v>156</v>
      </c>
      <c r="I2" s="10" t="s">
        <v>157</v>
      </c>
      <c r="J2" s="10" t="s">
        <v>158</v>
      </c>
      <c r="K2" s="12"/>
      <c r="L2" s="10"/>
      <c r="M2" s="10"/>
      <c r="N2" s="12"/>
      <c r="O2" s="12"/>
      <c r="P2" s="10"/>
      <c r="Q2" s="10"/>
      <c r="R2" s="13">
        <v>46161.1101978588</v>
      </c>
      <c r="S2" s="12"/>
      <c r="T2" s="12"/>
      <c r="U2" s="10" t="s">
        <v>159</v>
      </c>
      <c r="V2" s="10" t="s">
        <v>160</v>
      </c>
      <c r="W2" s="13">
        <v>46161.1101978588</v>
      </c>
      <c r="X2" s="13">
        <v>46161.1101978588</v>
      </c>
      <c r="Y2" s="10"/>
    </row>
    <row r="3">
      <c r="A3" s="10"/>
      <c r="B3" s="10"/>
      <c r="C3" s="10"/>
      <c r="D3" s="10"/>
      <c r="E3" s="10"/>
      <c r="F3" s="10" t="s">
        <v>154</v>
      </c>
      <c r="G3" s="10" t="s">
        <v>161</v>
      </c>
      <c r="H3" s="10" t="s">
        <v>162</v>
      </c>
      <c r="I3" s="10" t="s">
        <v>163</v>
      </c>
      <c r="J3" s="10" t="s">
        <v>164</v>
      </c>
      <c r="K3" s="10"/>
      <c r="L3" s="10"/>
      <c r="M3" s="10"/>
      <c r="N3" s="12"/>
      <c r="O3" s="12"/>
      <c r="P3" s="12"/>
      <c r="Q3" s="10"/>
      <c r="R3" s="13">
        <v>46161.316636828706</v>
      </c>
      <c r="S3" s="12"/>
      <c r="T3" s="12"/>
      <c r="U3" s="10" t="s">
        <v>165</v>
      </c>
      <c r="V3" s="10" t="s">
        <v>166</v>
      </c>
      <c r="W3" s="13">
        <v>46161.316636828706</v>
      </c>
      <c r="X3" s="13">
        <v>46161.316636828706</v>
      </c>
      <c r="Y3" s="10"/>
    </row>
    <row r="4">
      <c r="A4" s="10"/>
      <c r="B4" s="10"/>
      <c r="C4" s="10"/>
      <c r="D4" s="10"/>
      <c r="E4" s="10"/>
      <c r="F4" s="10" t="s">
        <v>154</v>
      </c>
      <c r="G4" s="10"/>
      <c r="H4" s="10"/>
      <c r="I4" s="10"/>
      <c r="J4" s="10"/>
      <c r="K4" s="12"/>
      <c r="L4" s="10">
        <v>5080.0</v>
      </c>
      <c r="M4" s="10">
        <v>75.0</v>
      </c>
      <c r="N4" s="12"/>
      <c r="O4" s="12"/>
      <c r="P4" s="12"/>
      <c r="Q4" s="10"/>
      <c r="R4" s="13">
        <v>46161.319889606486</v>
      </c>
      <c r="S4" s="12"/>
      <c r="T4" s="12"/>
      <c r="U4" s="10"/>
      <c r="V4" s="10"/>
      <c r="W4" s="13">
        <v>46161.319889606486</v>
      </c>
      <c r="X4" s="13">
        <v>46161.319889606486</v>
      </c>
      <c r="Y4" s="10"/>
    </row>
    <row r="5">
      <c r="A5" s="10"/>
      <c r="B5" s="10"/>
      <c r="C5" s="10"/>
      <c r="D5" s="10"/>
      <c r="E5" s="10"/>
      <c r="F5" s="10" t="s">
        <v>154</v>
      </c>
      <c r="G5" s="10"/>
      <c r="H5" s="10"/>
      <c r="I5" s="10"/>
      <c r="J5" s="10"/>
      <c r="K5" s="12"/>
      <c r="L5" s="10">
        <v>80.0</v>
      </c>
      <c r="M5" s="10">
        <v>75.0</v>
      </c>
      <c r="N5" s="12"/>
      <c r="O5" s="12"/>
      <c r="P5" s="12"/>
      <c r="Q5" s="10"/>
      <c r="R5" s="13">
        <v>46161.32034327547</v>
      </c>
      <c r="S5" s="12"/>
      <c r="T5" s="12"/>
      <c r="U5" s="10"/>
      <c r="V5" s="10"/>
      <c r="W5" s="13">
        <v>46161.32034327547</v>
      </c>
      <c r="X5" s="13">
        <v>46161.32034327547</v>
      </c>
      <c r="Y5" s="10"/>
    </row>
    <row r="6">
      <c r="A6" s="10"/>
      <c r="B6" s="10"/>
      <c r="C6" s="10"/>
      <c r="D6" s="10"/>
      <c r="E6" s="10"/>
      <c r="F6" s="10" t="s">
        <v>154</v>
      </c>
      <c r="G6" s="10"/>
      <c r="H6" s="10"/>
      <c r="I6" s="10"/>
      <c r="J6" s="10"/>
      <c r="K6" s="12"/>
      <c r="L6" s="10">
        <v>50.0</v>
      </c>
      <c r="M6" s="10"/>
      <c r="N6" s="12"/>
      <c r="O6" s="12"/>
      <c r="P6" s="12"/>
      <c r="Q6" s="10"/>
      <c r="R6" s="13">
        <v>46161.320573310186</v>
      </c>
      <c r="S6" s="12"/>
      <c r="T6" s="12"/>
      <c r="U6" s="10"/>
      <c r="V6" s="10"/>
      <c r="W6" s="13">
        <v>46161.320573310186</v>
      </c>
      <c r="X6" s="13">
        <v>46161.320573310186</v>
      </c>
      <c r="Y6" s="10"/>
    </row>
    <row r="7">
      <c r="A7" s="10"/>
      <c r="B7" s="10"/>
      <c r="C7" s="10"/>
      <c r="D7" s="10"/>
      <c r="E7" s="10"/>
      <c r="F7" s="10" t="s">
        <v>154</v>
      </c>
      <c r="G7" s="10"/>
      <c r="H7" s="10"/>
      <c r="I7" s="10"/>
      <c r="J7" s="10"/>
      <c r="K7" s="12"/>
      <c r="L7" s="10">
        <v>80.0</v>
      </c>
      <c r="M7" s="10">
        <v>75.0</v>
      </c>
      <c r="N7" s="12"/>
      <c r="O7" s="12"/>
      <c r="P7" s="10" t="s">
        <v>167</v>
      </c>
      <c r="Q7" s="10"/>
      <c r="R7" s="13">
        <v>46161.32102744213</v>
      </c>
      <c r="S7" s="12"/>
      <c r="T7" s="12"/>
      <c r="U7" s="10"/>
      <c r="V7" s="10"/>
      <c r="W7" s="13">
        <v>46161.32102744213</v>
      </c>
      <c r="X7" s="13">
        <v>46161.32102744213</v>
      </c>
      <c r="Y7" s="10">
        <v>78.5</v>
      </c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2"/>
      <c r="O8" s="12"/>
      <c r="P8" s="10"/>
      <c r="Q8" s="10"/>
      <c r="R8" s="12"/>
      <c r="S8" s="12"/>
      <c r="T8" s="12"/>
      <c r="U8" s="10"/>
      <c r="V8" s="10"/>
      <c r="W8" s="17"/>
      <c r="X8" s="17"/>
      <c r="Y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2"/>
      <c r="L9" s="10"/>
      <c r="M9" s="10"/>
      <c r="N9" s="12"/>
      <c r="O9" s="12"/>
      <c r="P9" s="10"/>
      <c r="Q9" s="10"/>
      <c r="R9" s="12"/>
      <c r="S9" s="12"/>
      <c r="T9" s="12"/>
      <c r="U9" s="10"/>
      <c r="V9" s="16"/>
      <c r="W9" s="17"/>
      <c r="X9" s="17"/>
      <c r="Y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2"/>
      <c r="L10" s="10"/>
      <c r="M10" s="10"/>
      <c r="N10" s="12"/>
      <c r="O10" s="12"/>
      <c r="P10" s="12"/>
      <c r="Q10" s="10"/>
      <c r="R10" s="12"/>
      <c r="S10" s="12"/>
      <c r="T10" s="12"/>
      <c r="U10" s="10"/>
      <c r="V10" s="10"/>
      <c r="W10" s="17"/>
      <c r="X10" s="17"/>
      <c r="Y10" s="10"/>
    </row>
    <row r="11">
      <c r="A11" s="10"/>
      <c r="B11" s="10"/>
      <c r="C11" s="10"/>
      <c r="D11" s="10"/>
      <c r="E11" s="10"/>
      <c r="F11" s="10"/>
      <c r="G11" s="12"/>
      <c r="H11" s="12"/>
      <c r="I11" s="12"/>
      <c r="J11" s="12"/>
      <c r="K11" s="12"/>
      <c r="L11" s="10"/>
      <c r="M11" s="12"/>
      <c r="N11" s="12"/>
      <c r="O11" s="12"/>
      <c r="P11" s="12"/>
      <c r="Q11" s="10"/>
      <c r="R11" s="12"/>
      <c r="S11" s="12"/>
      <c r="T11" s="12"/>
      <c r="U11" s="16"/>
      <c r="V11" s="16"/>
      <c r="W11" s="16"/>
      <c r="X11" s="16"/>
      <c r="Y11" s="16"/>
    </row>
    <row r="12">
      <c r="A12" s="10"/>
      <c r="B12" s="10"/>
      <c r="C12" s="10"/>
      <c r="D12" s="10"/>
      <c r="E12" s="10"/>
      <c r="F12" s="10"/>
      <c r="G12" s="12"/>
      <c r="H12" s="12"/>
      <c r="I12" s="12"/>
      <c r="J12" s="12"/>
      <c r="K12" s="12"/>
      <c r="L12" s="10"/>
      <c r="M12" s="12"/>
      <c r="N12" s="12"/>
      <c r="O12" s="12"/>
      <c r="P12" s="12"/>
      <c r="Q12" s="10"/>
      <c r="R12" s="12"/>
      <c r="S12" s="12"/>
      <c r="T12" s="12"/>
      <c r="U12" s="16"/>
      <c r="V12" s="16"/>
      <c r="W12" s="16"/>
      <c r="X12" s="16"/>
      <c r="Y12" s="16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2"/>
      <c r="K13" s="10"/>
      <c r="L13" s="10"/>
      <c r="M13" s="10"/>
      <c r="N13" s="12"/>
      <c r="O13" s="12"/>
      <c r="P13" s="12"/>
      <c r="Q13" s="10"/>
      <c r="R13" s="12"/>
      <c r="S13" s="12"/>
      <c r="T13" s="12"/>
      <c r="U13" s="16"/>
      <c r="V13" s="16"/>
      <c r="W13" s="16"/>
      <c r="X13" s="16"/>
      <c r="Y13" s="16"/>
    </row>
    <row r="14">
      <c r="A14" s="10"/>
      <c r="B14" s="10"/>
      <c r="C14" s="10"/>
      <c r="D14" s="10"/>
      <c r="E14" s="10"/>
      <c r="F14" s="10"/>
      <c r="G14" s="12"/>
      <c r="H14" s="12"/>
      <c r="I14" s="12"/>
      <c r="J14" s="12"/>
      <c r="K14" s="12"/>
      <c r="L14" s="10"/>
      <c r="M14" s="12"/>
      <c r="N14" s="12"/>
      <c r="O14" s="12"/>
      <c r="P14" s="12"/>
      <c r="Q14" s="10"/>
      <c r="R14" s="12"/>
      <c r="S14" s="12"/>
      <c r="T14" s="12"/>
      <c r="U14" s="16"/>
      <c r="V14" s="16"/>
      <c r="W14" s="16"/>
      <c r="X14" s="16"/>
      <c r="Y14" s="16"/>
    </row>
    <row r="15">
      <c r="A15" s="10"/>
      <c r="B15" s="10"/>
      <c r="C15" s="10"/>
      <c r="D15" s="10"/>
      <c r="E15" s="10"/>
      <c r="F15" s="10"/>
      <c r="G15" s="12"/>
      <c r="H15" s="12"/>
      <c r="I15" s="12"/>
      <c r="J15" s="12"/>
      <c r="K15" s="12"/>
      <c r="L15" s="10"/>
      <c r="M15" s="12"/>
      <c r="N15" s="12"/>
      <c r="O15" s="12"/>
      <c r="P15" s="12"/>
      <c r="Q15" s="10"/>
      <c r="R15" s="12"/>
      <c r="S15" s="12"/>
      <c r="T15" s="12"/>
      <c r="U15" s="16"/>
      <c r="V15" s="16"/>
      <c r="W15" s="16"/>
      <c r="X15" s="16"/>
      <c r="Y15" s="16"/>
    </row>
    <row r="16">
      <c r="A16" s="10"/>
      <c r="B16" s="10"/>
      <c r="C16" s="10"/>
      <c r="D16" s="10"/>
      <c r="E16" s="10"/>
      <c r="F16" s="10"/>
      <c r="G16" s="12"/>
      <c r="H16" s="12"/>
      <c r="I16" s="12"/>
      <c r="J16" s="12"/>
      <c r="K16" s="12"/>
      <c r="L16" s="10"/>
      <c r="M16" s="12"/>
      <c r="N16" s="12"/>
      <c r="O16" s="12"/>
      <c r="P16" s="12"/>
      <c r="Q16" s="10"/>
      <c r="R16" s="12"/>
      <c r="S16" s="12"/>
      <c r="T16" s="12"/>
      <c r="U16" s="16"/>
      <c r="V16" s="16"/>
      <c r="W16" s="16"/>
      <c r="X16" s="16"/>
      <c r="Y16" s="16"/>
    </row>
    <row r="17" ht="15.75" customHeight="1">
      <c r="A17" s="10"/>
      <c r="B17" s="10"/>
      <c r="C17" s="10"/>
      <c r="D17" s="10"/>
      <c r="E17" s="10"/>
      <c r="F17" s="10"/>
      <c r="G17" s="12"/>
      <c r="H17" s="12"/>
      <c r="I17" s="12"/>
      <c r="J17" s="12"/>
      <c r="K17" s="12"/>
      <c r="L17" s="10"/>
      <c r="M17" s="12"/>
      <c r="N17" s="12"/>
      <c r="O17" s="12"/>
      <c r="P17" s="12"/>
      <c r="Q17" s="10"/>
      <c r="R17" s="12"/>
      <c r="S17" s="12"/>
      <c r="T17" s="12"/>
      <c r="U17" s="16"/>
      <c r="V17" s="16"/>
      <c r="W17" s="16"/>
      <c r="X17" s="16"/>
      <c r="Y17" s="16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2"/>
      <c r="L18" s="10"/>
      <c r="M18" s="10"/>
      <c r="N18" s="10"/>
      <c r="O18" s="10"/>
      <c r="P18" s="12"/>
      <c r="Q18" s="10"/>
      <c r="R18" s="12"/>
      <c r="S18" s="12"/>
      <c r="T18" s="12"/>
      <c r="U18" s="10"/>
      <c r="V18" s="10"/>
      <c r="W18" s="17"/>
      <c r="X18" s="17"/>
      <c r="Y18" s="18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2"/>
      <c r="L19" s="10"/>
      <c r="M19" s="10"/>
      <c r="N19" s="10"/>
      <c r="O19" s="10"/>
      <c r="P19" s="12"/>
      <c r="Q19" s="10"/>
      <c r="R19" s="12"/>
      <c r="S19" s="12"/>
      <c r="T19" s="12"/>
      <c r="U19" s="10"/>
      <c r="V19" s="10"/>
      <c r="W19" s="17"/>
      <c r="X19" s="17"/>
      <c r="Y19" s="18"/>
    </row>
    <row r="20" ht="15.75" customHeight="1">
      <c r="A20" s="10"/>
      <c r="B20" s="10"/>
      <c r="C20" s="10"/>
      <c r="D20" s="10"/>
      <c r="E20" s="10"/>
      <c r="F20" s="10"/>
      <c r="G20" s="12"/>
      <c r="H20" s="12"/>
      <c r="I20" s="12"/>
      <c r="J20" s="12"/>
      <c r="K20" s="12"/>
      <c r="L20" s="10"/>
      <c r="M20" s="12"/>
      <c r="N20" s="12"/>
      <c r="O20" s="12"/>
      <c r="P20" s="12"/>
      <c r="Q20" s="10"/>
      <c r="R20" s="12"/>
      <c r="S20" s="12"/>
      <c r="T20" s="12"/>
      <c r="U20" s="16"/>
      <c r="V20" s="16"/>
      <c r="W20" s="17"/>
      <c r="X20" s="17"/>
      <c r="Y20" s="18"/>
    </row>
    <row r="21" ht="15.75" customHeight="1">
      <c r="A21" s="10"/>
      <c r="B21" s="10"/>
      <c r="C21" s="10"/>
      <c r="D21" s="10"/>
      <c r="E21" s="10"/>
      <c r="F21" s="10"/>
      <c r="G21" s="12"/>
      <c r="H21" s="12"/>
      <c r="I21" s="12"/>
      <c r="J21" s="12"/>
      <c r="K21" s="12"/>
      <c r="L21" s="10"/>
      <c r="M21" s="12"/>
      <c r="N21" s="12"/>
      <c r="O21" s="12"/>
      <c r="P21" s="12"/>
      <c r="Q21" s="10"/>
      <c r="R21" s="12"/>
      <c r="S21" s="12"/>
      <c r="T21" s="12"/>
      <c r="U21" s="16"/>
      <c r="V21" s="16"/>
      <c r="W21" s="17"/>
      <c r="X21" s="17"/>
      <c r="Y21" s="18"/>
    </row>
    <row r="22" ht="15.75" customHeight="1">
      <c r="A22" s="10"/>
      <c r="B22" s="10"/>
      <c r="C22" s="10"/>
      <c r="D22" s="10"/>
      <c r="E22" s="10"/>
      <c r="F22" s="10"/>
      <c r="G22" s="12"/>
      <c r="H22" s="12"/>
      <c r="I22" s="12"/>
      <c r="J22" s="12"/>
      <c r="K22" s="12"/>
      <c r="L22" s="10"/>
      <c r="M22" s="12"/>
      <c r="N22" s="12"/>
      <c r="O22" s="12"/>
      <c r="P22" s="12"/>
      <c r="Q22" s="10"/>
      <c r="R22" s="12"/>
      <c r="S22" s="12"/>
      <c r="T22" s="12"/>
      <c r="U22" s="16"/>
      <c r="V22" s="16"/>
      <c r="W22" s="17"/>
      <c r="X22" s="17"/>
      <c r="Y22" s="18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2"/>
      <c r="L23" s="10"/>
      <c r="M23" s="10"/>
      <c r="N23" s="10"/>
      <c r="O23" s="10"/>
      <c r="P23" s="12"/>
      <c r="Q23" s="10"/>
      <c r="R23" s="12"/>
      <c r="S23" s="12"/>
      <c r="T23" s="12"/>
      <c r="U23" s="10"/>
      <c r="V23" s="10"/>
      <c r="W23" s="17"/>
      <c r="X23" s="17"/>
      <c r="Y23" s="18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2"/>
      <c r="L24" s="10"/>
      <c r="M24" s="10"/>
      <c r="N24" s="10"/>
      <c r="O24" s="10"/>
      <c r="P24" s="12"/>
      <c r="Q24" s="10"/>
      <c r="R24" s="12"/>
      <c r="S24" s="12"/>
      <c r="T24" s="12"/>
      <c r="U24" s="10"/>
      <c r="V24" s="10"/>
      <c r="W24" s="17"/>
      <c r="X24" s="17"/>
      <c r="Y24" s="18"/>
    </row>
    <row r="25" ht="15.75" customHeight="1">
      <c r="A25" s="10"/>
      <c r="B25" s="10"/>
      <c r="C25" s="10"/>
      <c r="D25" s="10"/>
      <c r="E25" s="10"/>
      <c r="F25" s="10"/>
      <c r="G25" s="12"/>
      <c r="H25" s="12"/>
      <c r="I25" s="12"/>
      <c r="J25" s="12"/>
      <c r="K25" s="12"/>
      <c r="L25" s="10"/>
      <c r="M25" s="12"/>
      <c r="N25" s="12"/>
      <c r="O25" s="12"/>
      <c r="P25" s="12"/>
      <c r="Q25" s="10"/>
      <c r="R25" s="12"/>
      <c r="S25" s="12"/>
      <c r="T25" s="12"/>
      <c r="U25" s="16"/>
      <c r="V25" s="16"/>
      <c r="W25" s="17"/>
      <c r="X25" s="17"/>
      <c r="Y25" s="18"/>
    </row>
    <row r="26" ht="15.75" customHeight="1">
      <c r="A26" s="10"/>
      <c r="B26" s="10"/>
      <c r="C26" s="10"/>
      <c r="D26" s="10"/>
      <c r="E26" s="10"/>
      <c r="F26" s="10"/>
      <c r="G26" s="12"/>
      <c r="H26" s="12"/>
      <c r="I26" s="12"/>
      <c r="J26" s="12"/>
      <c r="K26" s="12"/>
      <c r="L26" s="10"/>
      <c r="M26" s="12"/>
      <c r="N26" s="12"/>
      <c r="O26" s="12"/>
      <c r="P26" s="12"/>
      <c r="Q26" s="10"/>
      <c r="R26" s="12"/>
      <c r="S26" s="12"/>
      <c r="T26" s="12"/>
      <c r="U26" s="16"/>
      <c r="V26" s="16"/>
      <c r="W26" s="17"/>
      <c r="X26" s="17"/>
      <c r="Y26" s="18"/>
    </row>
    <row r="27" ht="15.75" customHeight="1">
      <c r="A27" s="10"/>
      <c r="B27" s="10"/>
      <c r="C27" s="10"/>
      <c r="D27" s="10"/>
      <c r="E27" s="10"/>
      <c r="F27" s="10"/>
      <c r="G27" s="12"/>
      <c r="H27" s="12"/>
      <c r="I27" s="12"/>
      <c r="J27" s="12"/>
      <c r="K27" s="12"/>
      <c r="L27" s="10"/>
      <c r="M27" s="12"/>
      <c r="N27" s="12"/>
      <c r="O27" s="12"/>
      <c r="P27" s="12"/>
      <c r="Q27" s="10"/>
      <c r="R27" s="12"/>
      <c r="S27" s="12"/>
      <c r="T27" s="12"/>
      <c r="U27" s="16"/>
      <c r="V27" s="16"/>
      <c r="W27" s="17"/>
      <c r="X27" s="17"/>
      <c r="Y27" s="18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2"/>
      <c r="Q28" s="10"/>
      <c r="R28" s="12"/>
      <c r="S28" s="12"/>
      <c r="T28" s="12"/>
      <c r="U28" s="10"/>
      <c r="V28" s="10"/>
      <c r="W28" s="17"/>
      <c r="X28" s="17"/>
      <c r="Y28" s="18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2"/>
      <c r="Q29" s="10"/>
      <c r="R29" s="12"/>
      <c r="S29" s="12"/>
      <c r="T29" s="12"/>
      <c r="U29" s="10"/>
      <c r="V29" s="10"/>
      <c r="W29" s="17"/>
      <c r="X29" s="17"/>
      <c r="Y29" s="18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2"/>
      <c r="L30" s="10"/>
      <c r="M30" s="10"/>
      <c r="N30" s="10"/>
      <c r="O30" s="10"/>
      <c r="P30" s="12"/>
      <c r="Q30" s="10"/>
      <c r="R30" s="12"/>
      <c r="S30" s="12"/>
      <c r="T30" s="12"/>
      <c r="U30" s="10"/>
      <c r="V30" s="10"/>
      <c r="W30" s="17"/>
      <c r="X30" s="17"/>
      <c r="Y30" s="18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2"/>
      <c r="L31" s="10"/>
      <c r="M31" s="10"/>
      <c r="N31" s="10"/>
      <c r="O31" s="10"/>
      <c r="P31" s="12"/>
      <c r="Q31" s="10"/>
      <c r="R31" s="12"/>
      <c r="S31" s="12"/>
      <c r="T31" s="12"/>
      <c r="U31" s="10"/>
      <c r="V31" s="10"/>
      <c r="W31" s="17"/>
      <c r="X31" s="17"/>
      <c r="Y31" s="18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2"/>
      <c r="L32" s="10"/>
      <c r="M32" s="10"/>
      <c r="N32" s="10"/>
      <c r="O32" s="10"/>
      <c r="P32" s="12"/>
      <c r="Q32" s="10"/>
      <c r="R32" s="12"/>
      <c r="S32" s="12"/>
      <c r="T32" s="12"/>
      <c r="U32" s="10"/>
      <c r="V32" s="10"/>
      <c r="W32" s="17"/>
      <c r="X32" s="17"/>
      <c r="Y32" s="18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2"/>
      <c r="L33" s="10"/>
      <c r="M33" s="10"/>
      <c r="N33" s="10"/>
      <c r="O33" s="10"/>
      <c r="P33" s="12"/>
      <c r="Q33" s="10"/>
      <c r="R33" s="12"/>
      <c r="S33" s="12"/>
      <c r="T33" s="12"/>
      <c r="U33" s="10"/>
      <c r="V33" s="10"/>
      <c r="W33" s="17"/>
      <c r="X33" s="17"/>
      <c r="Y33" s="18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2"/>
      <c r="K34" s="12"/>
      <c r="L34" s="10"/>
      <c r="M34" s="10"/>
      <c r="N34" s="10"/>
      <c r="O34" s="10"/>
      <c r="P34" s="10"/>
      <c r="Q34" s="10"/>
      <c r="R34" s="12"/>
      <c r="S34" s="12"/>
      <c r="T34" s="12"/>
      <c r="U34" s="16"/>
      <c r="V34" s="10"/>
      <c r="W34" s="17"/>
      <c r="X34" s="17"/>
      <c r="Y34" s="18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2"/>
      <c r="K35" s="12"/>
      <c r="L35" s="10"/>
      <c r="M35" s="10"/>
      <c r="N35" s="10"/>
      <c r="O35" s="10"/>
      <c r="P35" s="10"/>
      <c r="Q35" s="10"/>
      <c r="R35" s="12"/>
      <c r="S35" s="12"/>
      <c r="T35" s="12"/>
      <c r="U35" s="16"/>
      <c r="V35" s="10"/>
      <c r="W35" s="17"/>
      <c r="X35" s="17"/>
      <c r="Y35" s="18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2"/>
      <c r="L36" s="10"/>
      <c r="M36" s="10"/>
      <c r="N36" s="10"/>
      <c r="O36" s="10"/>
      <c r="P36" s="10"/>
      <c r="Q36" s="10"/>
      <c r="R36" s="12"/>
      <c r="S36" s="12"/>
      <c r="T36" s="12"/>
      <c r="U36" s="10"/>
      <c r="V36" s="10"/>
      <c r="W36" s="17"/>
      <c r="X36" s="17"/>
      <c r="Y36" s="18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2"/>
      <c r="L37" s="10"/>
      <c r="M37" s="10"/>
      <c r="N37" s="10"/>
      <c r="O37" s="10"/>
      <c r="P37" s="10"/>
      <c r="Q37" s="10"/>
      <c r="R37" s="12"/>
      <c r="S37" s="12"/>
      <c r="T37" s="12"/>
      <c r="U37" s="10"/>
      <c r="V37" s="10"/>
      <c r="W37" s="17"/>
      <c r="X37" s="17"/>
      <c r="Y37" s="18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2"/>
      <c r="L38" s="10"/>
      <c r="M38" s="10"/>
      <c r="N38" s="10"/>
      <c r="O38" s="10"/>
      <c r="P38" s="12"/>
      <c r="Q38" s="10"/>
      <c r="R38" s="12"/>
      <c r="S38" s="12"/>
      <c r="T38" s="12"/>
      <c r="U38" s="10"/>
      <c r="V38" s="10"/>
      <c r="W38" s="17"/>
      <c r="X38" s="17"/>
      <c r="Y38" s="18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2"/>
      <c r="L39" s="10"/>
      <c r="M39" s="10"/>
      <c r="N39" s="10"/>
      <c r="O39" s="10"/>
      <c r="P39" s="12"/>
      <c r="Q39" s="10"/>
      <c r="R39" s="12"/>
      <c r="S39" s="12"/>
      <c r="T39" s="12"/>
      <c r="U39" s="10"/>
      <c r="V39" s="10"/>
      <c r="W39" s="17"/>
      <c r="X39" s="17"/>
      <c r="Y39" s="18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2"/>
      <c r="L40" s="10"/>
      <c r="M40" s="10"/>
      <c r="N40" s="10"/>
      <c r="O40" s="10"/>
      <c r="P40" s="12"/>
      <c r="Q40" s="10"/>
      <c r="R40" s="12"/>
      <c r="S40" s="12"/>
      <c r="T40" s="12"/>
      <c r="U40" s="10"/>
      <c r="V40" s="10"/>
      <c r="W40" s="17"/>
      <c r="X40" s="17"/>
      <c r="Y40" s="18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2"/>
      <c r="L41" s="10"/>
      <c r="M41" s="10"/>
      <c r="N41" s="10"/>
      <c r="O41" s="12"/>
      <c r="P41" s="12"/>
      <c r="Q41" s="10"/>
      <c r="R41" s="12"/>
      <c r="S41" s="12"/>
      <c r="T41" s="12"/>
      <c r="U41" s="10"/>
      <c r="V41" s="10"/>
      <c r="W41" s="17"/>
      <c r="X41" s="17"/>
      <c r="Y41" s="18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2"/>
      <c r="L42" s="10"/>
      <c r="M42" s="10"/>
      <c r="N42" s="10"/>
      <c r="O42" s="10"/>
      <c r="P42" s="10"/>
      <c r="Q42" s="10"/>
      <c r="R42" s="12"/>
      <c r="S42" s="12"/>
      <c r="T42" s="12"/>
      <c r="U42" s="10"/>
      <c r="V42" s="10"/>
      <c r="W42" s="17"/>
      <c r="X42" s="17"/>
      <c r="Y42" s="18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2"/>
      <c r="L43" s="10"/>
      <c r="M43" s="10"/>
      <c r="N43" s="10"/>
      <c r="O43" s="10"/>
      <c r="P43" s="12"/>
      <c r="Q43" s="10"/>
      <c r="R43" s="12"/>
      <c r="S43" s="12"/>
      <c r="T43" s="12"/>
      <c r="U43" s="10"/>
      <c r="V43" s="10"/>
      <c r="W43" s="17"/>
      <c r="X43" s="17"/>
      <c r="Y43" s="18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2"/>
      <c r="L44" s="10"/>
      <c r="M44" s="10"/>
      <c r="N44" s="12"/>
      <c r="O44" s="12"/>
      <c r="P44" s="12"/>
      <c r="Q44" s="10"/>
      <c r="R44" s="12"/>
      <c r="S44" s="12"/>
      <c r="T44" s="12"/>
      <c r="U44" s="10"/>
      <c r="V44" s="10"/>
      <c r="W44" s="17"/>
      <c r="X44" s="17"/>
      <c r="Y44" s="10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6"/>
      <c r="W45" s="16"/>
      <c r="X45" s="16"/>
      <c r="Y45" s="16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6"/>
      <c r="W46" s="16"/>
      <c r="X46" s="16"/>
      <c r="Y46" s="16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6"/>
      <c r="W47" s="16"/>
      <c r="X47" s="16"/>
      <c r="Y47" s="16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6"/>
      <c r="W48" s="16"/>
      <c r="X48" s="16"/>
      <c r="Y48" s="16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6"/>
      <c r="W49" s="16"/>
      <c r="X49" s="16"/>
      <c r="Y49" s="16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6"/>
      <c r="W50" s="16"/>
      <c r="X50" s="16"/>
      <c r="Y50" s="16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6"/>
      <c r="W51" s="16"/>
      <c r="X51" s="16"/>
      <c r="Y51" s="16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6"/>
      <c r="W52" s="16"/>
      <c r="X52" s="16"/>
      <c r="Y52" s="16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6"/>
      <c r="W53" s="16"/>
      <c r="X53" s="16"/>
      <c r="Y53" s="16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6"/>
      <c r="W54" s="16"/>
      <c r="X54" s="16"/>
      <c r="Y54" s="16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6"/>
      <c r="W55" s="16"/>
      <c r="X55" s="16"/>
      <c r="Y55" s="16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6"/>
      <c r="W56" s="16"/>
      <c r="X56" s="16"/>
      <c r="Y56" s="16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6"/>
      <c r="W57" s="16"/>
      <c r="X57" s="16"/>
      <c r="Y57" s="16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6"/>
      <c r="W58" s="16"/>
      <c r="X58" s="16"/>
      <c r="Y58" s="16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6"/>
      <c r="W59" s="16"/>
      <c r="X59" s="16"/>
      <c r="Y59" s="16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6"/>
      <c r="W60" s="16"/>
      <c r="X60" s="16"/>
      <c r="Y60" s="16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6"/>
      <c r="W61" s="16"/>
      <c r="X61" s="16"/>
      <c r="Y61" s="16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6"/>
      <c r="W62" s="16"/>
      <c r="X62" s="16"/>
      <c r="Y62" s="16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6"/>
      <c r="W63" s="16"/>
      <c r="X63" s="16"/>
      <c r="Y63" s="16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6"/>
      <c r="W64" s="16"/>
      <c r="X64" s="16"/>
      <c r="Y64" s="16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6"/>
      <c r="W65" s="16"/>
      <c r="X65" s="16"/>
      <c r="Y65" s="16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6"/>
      <c r="W66" s="16"/>
      <c r="X66" s="16"/>
      <c r="Y66" s="16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6"/>
      <c r="W67" s="16"/>
      <c r="X67" s="16"/>
      <c r="Y67" s="16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6"/>
      <c r="W68" s="16"/>
      <c r="X68" s="16"/>
      <c r="Y68" s="16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6"/>
      <c r="W69" s="16"/>
      <c r="X69" s="16"/>
      <c r="Y69" s="16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6"/>
      <c r="W70" s="16"/>
      <c r="X70" s="16"/>
      <c r="Y70" s="16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6"/>
      <c r="W71" s="16"/>
      <c r="X71" s="16"/>
      <c r="Y71" s="16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6"/>
      <c r="W72" s="16"/>
      <c r="X72" s="16"/>
      <c r="Y72" s="16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6"/>
      <c r="W73" s="16"/>
      <c r="X73" s="16"/>
      <c r="Y73" s="16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6"/>
      <c r="W74" s="16"/>
      <c r="X74" s="16"/>
      <c r="Y74" s="16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6"/>
      <c r="W75" s="16"/>
      <c r="X75" s="16"/>
      <c r="Y75" s="16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6"/>
      <c r="W76" s="16"/>
      <c r="X76" s="16"/>
      <c r="Y76" s="16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6"/>
      <c r="W77" s="16"/>
      <c r="X77" s="16"/>
      <c r="Y77" s="16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6"/>
      <c r="W78" s="16"/>
      <c r="X78" s="16"/>
      <c r="Y78" s="16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6"/>
      <c r="W79" s="16"/>
      <c r="X79" s="16"/>
      <c r="Y79" s="16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6"/>
      <c r="W80" s="16"/>
      <c r="X80" s="16"/>
      <c r="Y80" s="16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6"/>
      <c r="W81" s="16"/>
      <c r="X81" s="16"/>
      <c r="Y81" s="16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6"/>
      <c r="W82" s="16"/>
      <c r="X82" s="16"/>
      <c r="Y82" s="16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6"/>
      <c r="W83" s="16"/>
      <c r="X83" s="16"/>
      <c r="Y83" s="16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6"/>
      <c r="W84" s="16"/>
      <c r="X84" s="16"/>
      <c r="Y84" s="16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6"/>
      <c r="W85" s="16"/>
      <c r="X85" s="16"/>
      <c r="Y85" s="16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6"/>
      <c r="W86" s="16"/>
      <c r="X86" s="16"/>
      <c r="Y86" s="16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6"/>
      <c r="W87" s="16"/>
      <c r="X87" s="16"/>
      <c r="Y87" s="16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6"/>
      <c r="W88" s="16"/>
      <c r="X88" s="16"/>
      <c r="Y88" s="16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6"/>
      <c r="W89" s="16"/>
      <c r="X89" s="16"/>
      <c r="Y89" s="16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6"/>
      <c r="W90" s="16"/>
      <c r="X90" s="16"/>
      <c r="Y90" s="16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6"/>
      <c r="W91" s="16"/>
      <c r="X91" s="16"/>
      <c r="Y91" s="16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6"/>
      <c r="W92" s="16"/>
      <c r="X92" s="16"/>
      <c r="Y92" s="16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6"/>
      <c r="W93" s="16"/>
      <c r="X93" s="16"/>
      <c r="Y93" s="16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6"/>
      <c r="W94" s="16"/>
      <c r="X94" s="16"/>
      <c r="Y94" s="16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6"/>
      <c r="W95" s="16"/>
      <c r="X95" s="16"/>
      <c r="Y95" s="16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6"/>
      <c r="W96" s="16"/>
      <c r="X96" s="16"/>
      <c r="Y96" s="16"/>
    </row>
    <row r="97" ht="15.75" customHeight="1">
      <c r="C97" s="5"/>
      <c r="D97" s="5"/>
      <c r="F97" s="5"/>
      <c r="H97" s="5"/>
      <c r="I97" s="5"/>
      <c r="M97" s="5"/>
      <c r="S97" s="5"/>
    </row>
    <row r="98" ht="15.75" customHeight="1">
      <c r="C98" s="5"/>
      <c r="D98" s="5"/>
      <c r="F98" s="5"/>
      <c r="H98" s="5"/>
      <c r="I98" s="5"/>
      <c r="M98" s="5"/>
      <c r="S98" s="5"/>
    </row>
    <row r="99" ht="15.75" customHeight="1">
      <c r="C99" s="5"/>
      <c r="D99" s="5"/>
      <c r="F99" s="5"/>
      <c r="H99" s="5"/>
      <c r="I99" s="5"/>
      <c r="M99" s="5"/>
      <c r="S99" s="5"/>
    </row>
    <row r="100" ht="15.75" customHeight="1">
      <c r="C100" s="5"/>
      <c r="D100" s="5"/>
      <c r="F100" s="5"/>
      <c r="H100" s="5"/>
      <c r="I100" s="5"/>
      <c r="M100" s="5"/>
      <c r="S100" s="5"/>
    </row>
    <row r="101" ht="15.75" customHeight="1">
      <c r="C101" s="5"/>
      <c r="D101" s="5"/>
      <c r="F101" s="5"/>
      <c r="H101" s="5"/>
      <c r="I101" s="5"/>
      <c r="M101" s="5"/>
      <c r="S101" s="5"/>
    </row>
    <row r="102" ht="15.75" customHeight="1">
      <c r="C102" s="5"/>
      <c r="D102" s="5"/>
      <c r="F102" s="5"/>
      <c r="H102" s="5"/>
      <c r="I102" s="5"/>
      <c r="M102" s="5"/>
      <c r="S102" s="5"/>
    </row>
    <row r="103" ht="15.75" customHeight="1">
      <c r="C103" s="5"/>
      <c r="D103" s="5"/>
      <c r="F103" s="5"/>
      <c r="H103" s="5"/>
      <c r="I103" s="5"/>
      <c r="M103" s="5"/>
      <c r="S103" s="5"/>
    </row>
    <row r="104" ht="15.75" customHeight="1">
      <c r="C104" s="5"/>
      <c r="D104" s="5"/>
      <c r="F104" s="5"/>
      <c r="H104" s="5"/>
      <c r="I104" s="5"/>
      <c r="M104" s="5"/>
      <c r="S104" s="5"/>
    </row>
    <row r="105" ht="15.75" customHeight="1">
      <c r="C105" s="5"/>
      <c r="D105" s="5"/>
      <c r="F105" s="5"/>
      <c r="H105" s="5"/>
      <c r="I105" s="5"/>
      <c r="M105" s="5"/>
      <c r="S105" s="5"/>
    </row>
    <row r="106" ht="15.75" customHeight="1">
      <c r="C106" s="5"/>
      <c r="D106" s="5"/>
      <c r="F106" s="5"/>
      <c r="H106" s="5"/>
      <c r="I106" s="5"/>
      <c r="M106" s="5"/>
      <c r="S106" s="5"/>
    </row>
    <row r="107" ht="15.75" customHeight="1">
      <c r="C107" s="5"/>
      <c r="D107" s="5"/>
      <c r="F107" s="5"/>
      <c r="H107" s="5"/>
      <c r="I107" s="5"/>
      <c r="M107" s="5"/>
      <c r="S107" s="5"/>
    </row>
    <row r="108" ht="15.75" customHeight="1">
      <c r="C108" s="5"/>
      <c r="D108" s="5"/>
      <c r="F108" s="5"/>
      <c r="H108" s="5"/>
      <c r="I108" s="5"/>
      <c r="M108" s="5"/>
      <c r="S108" s="5"/>
    </row>
    <row r="109" ht="15.75" customHeight="1">
      <c r="C109" s="5"/>
      <c r="D109" s="5"/>
      <c r="F109" s="5"/>
      <c r="H109" s="5"/>
      <c r="I109" s="5"/>
      <c r="M109" s="5"/>
      <c r="S109" s="5"/>
    </row>
    <row r="110" ht="15.75" customHeight="1">
      <c r="C110" s="5"/>
      <c r="D110" s="5"/>
      <c r="F110" s="5"/>
      <c r="H110" s="5"/>
      <c r="I110" s="5"/>
      <c r="M110" s="5"/>
      <c r="S110" s="5"/>
    </row>
    <row r="111" ht="15.75" customHeight="1">
      <c r="C111" s="5"/>
      <c r="D111" s="5"/>
      <c r="F111" s="5"/>
      <c r="H111" s="5"/>
      <c r="I111" s="5"/>
      <c r="M111" s="5"/>
      <c r="S111" s="5"/>
    </row>
    <row r="112" ht="15.75" customHeight="1">
      <c r="C112" s="5"/>
      <c r="D112" s="5"/>
      <c r="F112" s="5"/>
      <c r="H112" s="5"/>
      <c r="I112" s="5"/>
      <c r="M112" s="5"/>
      <c r="S112" s="5"/>
    </row>
    <row r="113" ht="15.75" customHeight="1">
      <c r="C113" s="5"/>
      <c r="D113" s="5"/>
      <c r="F113" s="5"/>
      <c r="H113" s="5"/>
      <c r="I113" s="5"/>
      <c r="M113" s="5"/>
      <c r="S113" s="5"/>
    </row>
    <row r="114" ht="15.75" customHeight="1">
      <c r="C114" s="5"/>
      <c r="D114" s="5"/>
      <c r="F114" s="5"/>
      <c r="H114" s="5"/>
      <c r="I114" s="5"/>
      <c r="M114" s="5"/>
      <c r="S114" s="5"/>
    </row>
    <row r="115" ht="15.75" customHeight="1">
      <c r="C115" s="5"/>
      <c r="D115" s="5"/>
      <c r="F115" s="5"/>
      <c r="H115" s="5"/>
      <c r="I115" s="5"/>
      <c r="M115" s="5"/>
      <c r="S115" s="5"/>
    </row>
    <row r="116" ht="15.75" customHeight="1">
      <c r="C116" s="5"/>
      <c r="D116" s="5"/>
      <c r="F116" s="5"/>
      <c r="H116" s="5"/>
      <c r="I116" s="5"/>
      <c r="M116" s="5"/>
      <c r="S116" s="5"/>
    </row>
    <row r="117" ht="15.75" customHeight="1">
      <c r="C117" s="5"/>
      <c r="D117" s="5"/>
      <c r="F117" s="5"/>
      <c r="H117" s="5"/>
      <c r="I117" s="5"/>
      <c r="M117" s="5"/>
      <c r="S117" s="5"/>
    </row>
    <row r="118" ht="15.75" customHeight="1">
      <c r="C118" s="5"/>
      <c r="D118" s="5"/>
      <c r="F118" s="5"/>
      <c r="H118" s="5"/>
      <c r="I118" s="5"/>
      <c r="M118" s="5"/>
      <c r="S118" s="5"/>
    </row>
    <row r="119" ht="15.75" customHeight="1">
      <c r="C119" s="5"/>
      <c r="D119" s="5"/>
      <c r="F119" s="5"/>
      <c r="H119" s="5"/>
      <c r="I119" s="5"/>
      <c r="M119" s="5"/>
      <c r="S119" s="5"/>
    </row>
    <row r="120" ht="15.75" customHeight="1">
      <c r="C120" s="5"/>
      <c r="D120" s="5"/>
      <c r="F120" s="5"/>
      <c r="H120" s="5"/>
      <c r="I120" s="5"/>
      <c r="M120" s="5"/>
      <c r="S120" s="5"/>
    </row>
    <row r="121" ht="15.75" customHeight="1">
      <c r="C121" s="5"/>
      <c r="D121" s="5"/>
      <c r="F121" s="5"/>
      <c r="H121" s="5"/>
      <c r="I121" s="5"/>
      <c r="M121" s="5"/>
      <c r="S121" s="5"/>
    </row>
    <row r="122" ht="15.75" customHeight="1">
      <c r="C122" s="5"/>
      <c r="D122" s="5"/>
      <c r="F122" s="5"/>
      <c r="H122" s="5"/>
      <c r="I122" s="5"/>
      <c r="M122" s="5"/>
      <c r="S122" s="5"/>
    </row>
    <row r="123" ht="15.75" customHeight="1">
      <c r="C123" s="5"/>
      <c r="D123" s="5"/>
      <c r="F123" s="5"/>
      <c r="H123" s="5"/>
      <c r="I123" s="5"/>
      <c r="M123" s="5"/>
      <c r="S123" s="5"/>
    </row>
    <row r="124" ht="15.75" customHeight="1">
      <c r="C124" s="5"/>
      <c r="D124" s="5"/>
      <c r="F124" s="5"/>
      <c r="H124" s="5"/>
      <c r="I124" s="5"/>
      <c r="M124" s="5"/>
      <c r="S124" s="5"/>
    </row>
    <row r="125" ht="15.75" customHeight="1">
      <c r="C125" s="5"/>
      <c r="D125" s="5"/>
      <c r="F125" s="5"/>
      <c r="H125" s="5"/>
      <c r="I125" s="5"/>
      <c r="M125" s="5"/>
      <c r="S125" s="5"/>
    </row>
    <row r="126" ht="15.75" customHeight="1">
      <c r="C126" s="5"/>
      <c r="D126" s="5"/>
      <c r="F126" s="5"/>
      <c r="H126" s="5"/>
      <c r="I126" s="5"/>
      <c r="M126" s="5"/>
      <c r="S126" s="5"/>
    </row>
    <row r="127" ht="15.75" customHeight="1">
      <c r="C127" s="5"/>
      <c r="D127" s="5"/>
      <c r="F127" s="5"/>
      <c r="H127" s="5"/>
      <c r="I127" s="5"/>
      <c r="M127" s="5"/>
      <c r="S127" s="5"/>
    </row>
    <row r="128" ht="15.75" customHeight="1">
      <c r="C128" s="5"/>
      <c r="D128" s="5"/>
      <c r="F128" s="5"/>
      <c r="H128" s="5"/>
      <c r="I128" s="5"/>
      <c r="M128" s="5"/>
      <c r="S128" s="5"/>
    </row>
    <row r="129" ht="15.75" customHeight="1">
      <c r="C129" s="5"/>
      <c r="D129" s="5"/>
      <c r="F129" s="5"/>
      <c r="H129" s="5"/>
      <c r="I129" s="5"/>
      <c r="M129" s="5"/>
      <c r="S129" s="5"/>
    </row>
    <row r="130" ht="15.75" customHeight="1">
      <c r="C130" s="5"/>
      <c r="D130" s="5"/>
      <c r="F130" s="5"/>
      <c r="H130" s="5"/>
      <c r="I130" s="5"/>
      <c r="M130" s="5"/>
      <c r="S130" s="5"/>
    </row>
    <row r="131" ht="15.75" customHeight="1">
      <c r="C131" s="5"/>
      <c r="D131" s="5"/>
      <c r="F131" s="5"/>
      <c r="H131" s="5"/>
      <c r="I131" s="5"/>
      <c r="M131" s="5"/>
      <c r="S131" s="5"/>
    </row>
    <row r="132" ht="15.75" customHeight="1">
      <c r="C132" s="5"/>
      <c r="D132" s="5"/>
      <c r="F132" s="5"/>
      <c r="H132" s="5"/>
      <c r="I132" s="5"/>
      <c r="M132" s="5"/>
      <c r="S132" s="5"/>
    </row>
    <row r="133" ht="15.75" customHeight="1">
      <c r="C133" s="5"/>
      <c r="D133" s="5"/>
      <c r="F133" s="5"/>
      <c r="H133" s="5"/>
      <c r="I133" s="5"/>
      <c r="M133" s="5"/>
      <c r="S133" s="5"/>
    </row>
    <row r="134" ht="15.75" customHeight="1">
      <c r="C134" s="5"/>
      <c r="D134" s="5"/>
      <c r="F134" s="5"/>
      <c r="H134" s="5"/>
      <c r="I134" s="5"/>
      <c r="M134" s="5"/>
      <c r="S134" s="5"/>
    </row>
    <row r="135" ht="15.75" customHeight="1">
      <c r="C135" s="5"/>
      <c r="D135" s="5"/>
      <c r="F135" s="5"/>
      <c r="H135" s="5"/>
      <c r="I135" s="5"/>
      <c r="M135" s="5"/>
      <c r="S135" s="5"/>
    </row>
    <row r="136" ht="15.75" customHeight="1">
      <c r="C136" s="5"/>
      <c r="D136" s="5"/>
      <c r="F136" s="5"/>
      <c r="H136" s="5"/>
      <c r="I136" s="5"/>
      <c r="M136" s="5"/>
      <c r="S136" s="5"/>
    </row>
    <row r="137" ht="15.75" customHeight="1">
      <c r="C137" s="5"/>
      <c r="D137" s="5"/>
      <c r="F137" s="5"/>
      <c r="H137" s="5"/>
      <c r="I137" s="5"/>
      <c r="M137" s="5"/>
      <c r="S137" s="5"/>
    </row>
    <row r="138" ht="15.75" customHeight="1">
      <c r="C138" s="5"/>
      <c r="D138" s="5"/>
      <c r="F138" s="5"/>
      <c r="H138" s="5"/>
      <c r="I138" s="5"/>
      <c r="M138" s="5"/>
      <c r="S138" s="5"/>
    </row>
    <row r="139" ht="15.75" customHeight="1">
      <c r="C139" s="5"/>
      <c r="D139" s="5"/>
      <c r="F139" s="5"/>
      <c r="H139" s="5"/>
      <c r="I139" s="5"/>
      <c r="M139" s="5"/>
      <c r="S139" s="5"/>
    </row>
    <row r="140" ht="15.75" customHeight="1">
      <c r="C140" s="5"/>
      <c r="D140" s="5"/>
      <c r="F140" s="5"/>
      <c r="H140" s="5"/>
      <c r="I140" s="5"/>
      <c r="M140" s="5"/>
      <c r="S140" s="5"/>
    </row>
    <row r="141" ht="15.75" customHeight="1">
      <c r="C141" s="5"/>
      <c r="D141" s="5"/>
      <c r="F141" s="5"/>
      <c r="H141" s="5"/>
      <c r="I141" s="5"/>
      <c r="M141" s="5"/>
      <c r="S141" s="5"/>
    </row>
    <row r="142" ht="15.75" customHeight="1">
      <c r="C142" s="5"/>
      <c r="D142" s="5"/>
      <c r="F142" s="5"/>
      <c r="H142" s="5"/>
      <c r="I142" s="5"/>
      <c r="M142" s="5"/>
      <c r="S142" s="5"/>
    </row>
    <row r="143" ht="15.75" customHeight="1">
      <c r="C143" s="5"/>
      <c r="D143" s="5"/>
      <c r="F143" s="5"/>
      <c r="H143" s="5"/>
      <c r="I143" s="5"/>
      <c r="M143" s="5"/>
      <c r="S143" s="5"/>
    </row>
    <row r="144" ht="15.75" customHeight="1">
      <c r="C144" s="5"/>
      <c r="D144" s="5"/>
      <c r="F144" s="5"/>
      <c r="H144" s="5"/>
      <c r="I144" s="5"/>
      <c r="M144" s="5"/>
      <c r="S144" s="5"/>
    </row>
    <row r="145" ht="15.75" customHeight="1">
      <c r="C145" s="5"/>
      <c r="D145" s="5"/>
      <c r="F145" s="5"/>
      <c r="H145" s="5"/>
      <c r="I145" s="5"/>
      <c r="M145" s="5"/>
      <c r="S145" s="5"/>
    </row>
    <row r="146" ht="15.75" customHeight="1">
      <c r="C146" s="5"/>
      <c r="D146" s="5"/>
      <c r="F146" s="5"/>
      <c r="H146" s="5"/>
      <c r="I146" s="5"/>
      <c r="M146" s="5"/>
      <c r="S146" s="5"/>
    </row>
    <row r="147" ht="15.75" customHeight="1">
      <c r="C147" s="5"/>
      <c r="D147" s="5"/>
      <c r="F147" s="5"/>
      <c r="H147" s="5"/>
      <c r="I147" s="5"/>
      <c r="M147" s="5"/>
      <c r="S147" s="5"/>
    </row>
    <row r="148" ht="15.75" customHeight="1">
      <c r="C148" s="5"/>
      <c r="D148" s="5"/>
      <c r="F148" s="5"/>
      <c r="H148" s="5"/>
      <c r="I148" s="5"/>
      <c r="M148" s="5"/>
      <c r="S148" s="5"/>
    </row>
    <row r="149" ht="15.75" customHeight="1">
      <c r="C149" s="5"/>
      <c r="D149" s="5"/>
      <c r="F149" s="5"/>
      <c r="H149" s="5"/>
      <c r="I149" s="5"/>
      <c r="M149" s="5"/>
      <c r="S149" s="5"/>
    </row>
    <row r="150" ht="15.75" customHeight="1">
      <c r="C150" s="5"/>
      <c r="D150" s="5"/>
      <c r="F150" s="5"/>
      <c r="H150" s="5"/>
      <c r="I150" s="5"/>
      <c r="M150" s="5"/>
      <c r="S150" s="5"/>
    </row>
    <row r="151" ht="15.75" customHeight="1">
      <c r="C151" s="5"/>
      <c r="D151" s="5"/>
      <c r="F151" s="5"/>
      <c r="H151" s="5"/>
      <c r="I151" s="5"/>
      <c r="M151" s="5"/>
      <c r="S151" s="5"/>
    </row>
    <row r="152" ht="15.75" customHeight="1">
      <c r="C152" s="5"/>
      <c r="D152" s="5"/>
      <c r="F152" s="5"/>
      <c r="H152" s="5"/>
      <c r="I152" s="5"/>
      <c r="M152" s="5"/>
      <c r="S152" s="5"/>
    </row>
    <row r="153" ht="15.75" customHeight="1">
      <c r="C153" s="5"/>
      <c r="D153" s="5"/>
      <c r="F153" s="5"/>
      <c r="H153" s="5"/>
      <c r="I153" s="5"/>
      <c r="M153" s="5"/>
      <c r="S153" s="5"/>
    </row>
    <row r="154" ht="15.75" customHeight="1">
      <c r="C154" s="5"/>
      <c r="D154" s="5"/>
      <c r="F154" s="5"/>
      <c r="H154" s="5"/>
      <c r="I154" s="5"/>
      <c r="M154" s="5"/>
      <c r="S154" s="5"/>
    </row>
    <row r="155" ht="15.75" customHeight="1">
      <c r="C155" s="5"/>
      <c r="D155" s="5"/>
      <c r="F155" s="5"/>
      <c r="H155" s="5"/>
      <c r="I155" s="5"/>
      <c r="M155" s="5"/>
      <c r="S155" s="5"/>
    </row>
    <row r="156" ht="15.75" customHeight="1">
      <c r="C156" s="5"/>
      <c r="D156" s="5"/>
      <c r="F156" s="5"/>
      <c r="H156" s="5"/>
      <c r="I156" s="5"/>
      <c r="M156" s="5"/>
      <c r="S156" s="5"/>
    </row>
    <row r="157" ht="15.75" customHeight="1">
      <c r="C157" s="5"/>
      <c r="D157" s="5"/>
      <c r="F157" s="5"/>
      <c r="H157" s="5"/>
      <c r="I157" s="5"/>
      <c r="M157" s="5"/>
      <c r="S157" s="5"/>
    </row>
    <row r="158" ht="15.75" customHeight="1">
      <c r="C158" s="5"/>
      <c r="D158" s="5"/>
      <c r="F158" s="5"/>
      <c r="H158" s="5"/>
      <c r="I158" s="5"/>
      <c r="M158" s="5"/>
      <c r="S158" s="5"/>
    </row>
    <row r="159" ht="15.75" customHeight="1">
      <c r="C159" s="5"/>
      <c r="D159" s="5"/>
      <c r="F159" s="5"/>
      <c r="H159" s="5"/>
      <c r="I159" s="5"/>
      <c r="M159" s="5"/>
      <c r="S159" s="5"/>
    </row>
    <row r="160" ht="15.75" customHeight="1">
      <c r="C160" s="5"/>
      <c r="D160" s="5"/>
      <c r="F160" s="5"/>
      <c r="H160" s="5"/>
      <c r="I160" s="5"/>
      <c r="M160" s="5"/>
      <c r="S160" s="5"/>
    </row>
    <row r="161" ht="15.75" customHeight="1">
      <c r="C161" s="5"/>
      <c r="D161" s="5"/>
      <c r="F161" s="5"/>
      <c r="H161" s="5"/>
      <c r="I161" s="5"/>
      <c r="M161" s="5"/>
      <c r="S161" s="5"/>
    </row>
    <row r="162" ht="15.75" customHeight="1">
      <c r="C162" s="5"/>
      <c r="D162" s="5"/>
      <c r="F162" s="5"/>
      <c r="H162" s="5"/>
      <c r="I162" s="5"/>
      <c r="M162" s="5"/>
      <c r="S162" s="5"/>
    </row>
    <row r="163" ht="15.75" customHeight="1">
      <c r="C163" s="5"/>
      <c r="D163" s="5"/>
      <c r="F163" s="5"/>
      <c r="H163" s="5"/>
      <c r="I163" s="5"/>
      <c r="M163" s="5"/>
      <c r="S163" s="5"/>
    </row>
    <row r="164" ht="15.75" customHeight="1">
      <c r="C164" s="5"/>
      <c r="D164" s="5"/>
      <c r="F164" s="5"/>
      <c r="H164" s="5"/>
      <c r="I164" s="5"/>
      <c r="M164" s="5"/>
      <c r="S164" s="5"/>
    </row>
    <row r="165" ht="15.75" customHeight="1">
      <c r="C165" s="5"/>
      <c r="D165" s="5"/>
      <c r="F165" s="5"/>
      <c r="H165" s="5"/>
      <c r="I165" s="5"/>
      <c r="M165" s="5"/>
      <c r="S165" s="5"/>
    </row>
    <row r="166" ht="15.75" customHeight="1">
      <c r="C166" s="5"/>
      <c r="D166" s="5"/>
      <c r="F166" s="5"/>
      <c r="H166" s="5"/>
      <c r="I166" s="5"/>
      <c r="M166" s="5"/>
      <c r="S166" s="5"/>
    </row>
    <row r="167" ht="15.75" customHeight="1">
      <c r="C167" s="5"/>
      <c r="D167" s="5"/>
      <c r="F167" s="5"/>
      <c r="H167" s="5"/>
      <c r="I167" s="5"/>
      <c r="M167" s="5"/>
      <c r="S167" s="5"/>
    </row>
    <row r="168" ht="15.75" customHeight="1">
      <c r="C168" s="5"/>
      <c r="D168" s="5"/>
      <c r="F168" s="5"/>
      <c r="H168" s="5"/>
      <c r="I168" s="5"/>
      <c r="M168" s="5"/>
      <c r="S168" s="5"/>
    </row>
    <row r="169" ht="15.75" customHeight="1">
      <c r="C169" s="5"/>
      <c r="D169" s="5"/>
      <c r="F169" s="5"/>
      <c r="H169" s="5"/>
      <c r="I169" s="5"/>
      <c r="M169" s="5"/>
      <c r="S169" s="5"/>
    </row>
    <row r="170" ht="15.75" customHeight="1">
      <c r="C170" s="5"/>
      <c r="D170" s="5"/>
      <c r="F170" s="5"/>
      <c r="H170" s="5"/>
      <c r="I170" s="5"/>
      <c r="M170" s="5"/>
      <c r="S170" s="5"/>
    </row>
    <row r="171" ht="15.75" customHeight="1">
      <c r="C171" s="5"/>
      <c r="D171" s="5"/>
      <c r="F171" s="5"/>
      <c r="H171" s="5"/>
      <c r="I171" s="5"/>
      <c r="M171" s="5"/>
      <c r="S171" s="5"/>
    </row>
    <row r="172" ht="15.75" customHeight="1">
      <c r="C172" s="5"/>
      <c r="D172" s="5"/>
      <c r="F172" s="5"/>
      <c r="H172" s="5"/>
      <c r="I172" s="5"/>
      <c r="M172" s="5"/>
      <c r="S172" s="5"/>
    </row>
    <row r="173" ht="15.75" customHeight="1">
      <c r="C173" s="5"/>
      <c r="D173" s="5"/>
      <c r="F173" s="5"/>
      <c r="H173" s="5"/>
      <c r="I173" s="5"/>
      <c r="M173" s="5"/>
      <c r="S173" s="5"/>
    </row>
    <row r="174" ht="15.75" customHeight="1">
      <c r="C174" s="5"/>
      <c r="D174" s="5"/>
      <c r="F174" s="5"/>
      <c r="H174" s="5"/>
      <c r="I174" s="5"/>
      <c r="M174" s="5"/>
      <c r="S174" s="5"/>
    </row>
    <row r="175" ht="15.75" customHeight="1">
      <c r="C175" s="5"/>
      <c r="D175" s="5"/>
      <c r="F175" s="5"/>
      <c r="H175" s="5"/>
      <c r="I175" s="5"/>
      <c r="M175" s="5"/>
      <c r="S175" s="5"/>
    </row>
    <row r="176" ht="15.75" customHeight="1">
      <c r="C176" s="5"/>
      <c r="D176" s="5"/>
      <c r="F176" s="5"/>
      <c r="H176" s="5"/>
      <c r="I176" s="5"/>
      <c r="M176" s="5"/>
      <c r="S176" s="5"/>
    </row>
    <row r="177" ht="15.75" customHeight="1">
      <c r="C177" s="5"/>
      <c r="D177" s="5"/>
      <c r="F177" s="5"/>
      <c r="H177" s="5"/>
      <c r="I177" s="5"/>
      <c r="M177" s="5"/>
      <c r="S177" s="5"/>
    </row>
    <row r="178" ht="15.75" customHeight="1">
      <c r="C178" s="5"/>
      <c r="D178" s="5"/>
      <c r="F178" s="5"/>
      <c r="H178" s="5"/>
      <c r="I178" s="5"/>
      <c r="M178" s="5"/>
      <c r="S178" s="5"/>
    </row>
    <row r="179" ht="15.75" customHeight="1">
      <c r="C179" s="5"/>
      <c r="D179" s="5"/>
      <c r="F179" s="5"/>
      <c r="H179" s="5"/>
      <c r="I179" s="5"/>
      <c r="M179" s="5"/>
      <c r="S179" s="5"/>
    </row>
    <row r="180" ht="15.75" customHeight="1">
      <c r="C180" s="5"/>
      <c r="D180" s="5"/>
      <c r="F180" s="5"/>
      <c r="H180" s="5"/>
      <c r="I180" s="5"/>
      <c r="M180" s="5"/>
      <c r="S180" s="5"/>
    </row>
    <row r="181" ht="15.75" customHeight="1">
      <c r="C181" s="5"/>
      <c r="D181" s="5"/>
      <c r="F181" s="5"/>
      <c r="H181" s="5"/>
      <c r="I181" s="5"/>
      <c r="M181" s="5"/>
      <c r="S181" s="5"/>
    </row>
    <row r="182" ht="15.75" customHeight="1">
      <c r="C182" s="5"/>
      <c r="D182" s="5"/>
      <c r="F182" s="5"/>
      <c r="H182" s="5"/>
      <c r="I182" s="5"/>
      <c r="M182" s="5"/>
      <c r="S182" s="5"/>
    </row>
    <row r="183" ht="15.75" customHeight="1">
      <c r="C183" s="5"/>
      <c r="D183" s="5"/>
      <c r="F183" s="5"/>
      <c r="H183" s="5"/>
      <c r="I183" s="5"/>
      <c r="M183" s="5"/>
      <c r="S183" s="5"/>
    </row>
    <row r="184" ht="15.75" customHeight="1">
      <c r="C184" s="5"/>
      <c r="D184" s="5"/>
      <c r="F184" s="5"/>
      <c r="H184" s="5"/>
      <c r="I184" s="5"/>
      <c r="M184" s="5"/>
      <c r="S184" s="5"/>
    </row>
    <row r="185" ht="15.75" customHeight="1">
      <c r="C185" s="5"/>
      <c r="D185" s="5"/>
      <c r="F185" s="5"/>
      <c r="H185" s="5"/>
      <c r="I185" s="5"/>
      <c r="M185" s="5"/>
      <c r="S185" s="5"/>
    </row>
    <row r="186" ht="15.75" customHeight="1">
      <c r="C186" s="5"/>
      <c r="D186" s="5"/>
      <c r="F186" s="5"/>
      <c r="H186" s="5"/>
      <c r="I186" s="5"/>
      <c r="M186" s="5"/>
      <c r="S186" s="5"/>
    </row>
    <row r="187" ht="15.75" customHeight="1">
      <c r="C187" s="5"/>
      <c r="D187" s="5"/>
      <c r="F187" s="5"/>
      <c r="H187" s="5"/>
      <c r="I187" s="5"/>
      <c r="M187" s="5"/>
      <c r="S187" s="5"/>
    </row>
    <row r="188" ht="15.75" customHeight="1">
      <c r="C188" s="5"/>
      <c r="D188" s="5"/>
      <c r="F188" s="5"/>
      <c r="H188" s="5"/>
      <c r="I188" s="5"/>
      <c r="M188" s="5"/>
      <c r="S188" s="5"/>
    </row>
    <row r="189" ht="15.75" customHeight="1">
      <c r="C189" s="5"/>
      <c r="D189" s="5"/>
      <c r="F189" s="5"/>
      <c r="H189" s="5"/>
      <c r="I189" s="5"/>
      <c r="M189" s="5"/>
      <c r="S189" s="5"/>
    </row>
    <row r="190" ht="15.75" customHeight="1">
      <c r="C190" s="5"/>
      <c r="D190" s="5"/>
      <c r="F190" s="5"/>
      <c r="H190" s="5"/>
      <c r="I190" s="5"/>
      <c r="M190" s="5"/>
      <c r="S190" s="5"/>
    </row>
    <row r="191" ht="15.75" customHeight="1">
      <c r="C191" s="5"/>
      <c r="D191" s="5"/>
      <c r="F191" s="5"/>
      <c r="H191" s="5"/>
      <c r="I191" s="5"/>
      <c r="M191" s="5"/>
      <c r="S191" s="5"/>
    </row>
    <row r="192" ht="15.75" customHeight="1">
      <c r="C192" s="5"/>
      <c r="D192" s="5"/>
      <c r="F192" s="5"/>
      <c r="H192" s="5"/>
      <c r="I192" s="5"/>
      <c r="M192" s="5"/>
      <c r="S192" s="5"/>
    </row>
    <row r="193" ht="15.75" customHeight="1">
      <c r="C193" s="5"/>
      <c r="D193" s="5"/>
      <c r="F193" s="5"/>
      <c r="H193" s="5"/>
      <c r="I193" s="5"/>
      <c r="M193" s="5"/>
      <c r="S193" s="5"/>
    </row>
    <row r="194" ht="15.75" customHeight="1">
      <c r="C194" s="5"/>
      <c r="D194" s="5"/>
      <c r="F194" s="5"/>
      <c r="H194" s="5"/>
      <c r="I194" s="5"/>
      <c r="M194" s="5"/>
      <c r="S194" s="5"/>
    </row>
    <row r="195" ht="15.75" customHeight="1">
      <c r="C195" s="5"/>
      <c r="D195" s="5"/>
      <c r="F195" s="5"/>
      <c r="H195" s="5"/>
      <c r="I195" s="5"/>
      <c r="M195" s="5"/>
      <c r="S195" s="5"/>
    </row>
    <row r="196" ht="15.75" customHeight="1">
      <c r="C196" s="5"/>
      <c r="D196" s="5"/>
      <c r="F196" s="5"/>
      <c r="H196" s="5"/>
      <c r="I196" s="5"/>
      <c r="M196" s="5"/>
      <c r="S196" s="5"/>
    </row>
    <row r="197" ht="15.75" customHeight="1">
      <c r="C197" s="5"/>
      <c r="D197" s="5"/>
      <c r="F197" s="5"/>
      <c r="H197" s="5"/>
      <c r="I197" s="5"/>
      <c r="M197" s="5"/>
      <c r="S197" s="5"/>
    </row>
    <row r="198" ht="15.75" customHeight="1">
      <c r="C198" s="5"/>
      <c r="D198" s="5"/>
      <c r="F198" s="5"/>
      <c r="H198" s="5"/>
      <c r="I198" s="5"/>
      <c r="M198" s="5"/>
      <c r="S198" s="5"/>
    </row>
    <row r="199" ht="15.75" customHeight="1">
      <c r="C199" s="5"/>
      <c r="D199" s="5"/>
      <c r="F199" s="5"/>
      <c r="H199" s="5"/>
      <c r="I199" s="5"/>
      <c r="M199" s="5"/>
      <c r="S199" s="5"/>
    </row>
    <row r="200" ht="15.75" customHeight="1">
      <c r="C200" s="5"/>
      <c r="D200" s="5"/>
      <c r="F200" s="5"/>
      <c r="H200" s="5"/>
      <c r="I200" s="5"/>
      <c r="M200" s="5"/>
      <c r="S200" s="5"/>
    </row>
    <row r="201" ht="15.75" customHeight="1">
      <c r="C201" s="5"/>
      <c r="D201" s="5"/>
      <c r="F201" s="5"/>
      <c r="H201" s="5"/>
      <c r="I201" s="5"/>
      <c r="M201" s="5"/>
      <c r="S201" s="5"/>
    </row>
    <row r="202" ht="15.75" customHeight="1">
      <c r="C202" s="5"/>
      <c r="D202" s="5"/>
      <c r="F202" s="5"/>
      <c r="H202" s="5"/>
      <c r="I202" s="5"/>
      <c r="M202" s="5"/>
      <c r="S202" s="5"/>
    </row>
    <row r="203" ht="15.75" customHeight="1">
      <c r="C203" s="5"/>
      <c r="D203" s="5"/>
      <c r="F203" s="5"/>
      <c r="H203" s="5"/>
      <c r="I203" s="5"/>
      <c r="M203" s="5"/>
      <c r="S203" s="5"/>
    </row>
    <row r="204" ht="15.75" customHeight="1">
      <c r="C204" s="5"/>
      <c r="D204" s="5"/>
      <c r="F204" s="5"/>
      <c r="H204" s="5"/>
      <c r="I204" s="5"/>
      <c r="M204" s="5"/>
      <c r="S204" s="5"/>
    </row>
    <row r="205" ht="15.75" customHeight="1">
      <c r="C205" s="5"/>
      <c r="D205" s="5"/>
      <c r="F205" s="5"/>
      <c r="H205" s="5"/>
      <c r="I205" s="5"/>
      <c r="M205" s="5"/>
      <c r="S205" s="5"/>
    </row>
    <row r="206" ht="15.75" customHeight="1">
      <c r="C206" s="5"/>
      <c r="D206" s="5"/>
      <c r="F206" s="5"/>
      <c r="H206" s="5"/>
      <c r="I206" s="5"/>
      <c r="M206" s="5"/>
      <c r="S206" s="5"/>
    </row>
    <row r="207" ht="15.75" customHeight="1">
      <c r="C207" s="5"/>
      <c r="D207" s="5"/>
      <c r="F207" s="5"/>
      <c r="H207" s="5"/>
      <c r="I207" s="5"/>
      <c r="M207" s="5"/>
      <c r="S207" s="5"/>
    </row>
    <row r="208" ht="15.75" customHeight="1">
      <c r="C208" s="5"/>
      <c r="D208" s="5"/>
      <c r="F208" s="5"/>
      <c r="H208" s="5"/>
      <c r="I208" s="5"/>
      <c r="M208" s="5"/>
      <c r="S208" s="5"/>
    </row>
    <row r="209" ht="15.75" customHeight="1">
      <c r="C209" s="5"/>
      <c r="D209" s="5"/>
      <c r="F209" s="5"/>
      <c r="H209" s="5"/>
      <c r="I209" s="5"/>
      <c r="M209" s="5"/>
      <c r="S209" s="5"/>
    </row>
    <row r="210" ht="15.75" customHeight="1">
      <c r="C210" s="5"/>
      <c r="D210" s="5"/>
      <c r="F210" s="5"/>
      <c r="H210" s="5"/>
      <c r="I210" s="5"/>
      <c r="M210" s="5"/>
      <c r="S210" s="5"/>
    </row>
    <row r="211" ht="15.75" customHeight="1">
      <c r="C211" s="5"/>
      <c r="D211" s="5"/>
      <c r="F211" s="5"/>
      <c r="H211" s="5"/>
      <c r="I211" s="5"/>
      <c r="M211" s="5"/>
      <c r="S211" s="5"/>
    </row>
    <row r="212" ht="15.75" customHeight="1">
      <c r="C212" s="5"/>
      <c r="D212" s="5"/>
      <c r="F212" s="5"/>
      <c r="H212" s="5"/>
      <c r="I212" s="5"/>
      <c r="M212" s="5"/>
      <c r="S212" s="5"/>
    </row>
    <row r="213" ht="15.75" customHeight="1">
      <c r="C213" s="5"/>
      <c r="D213" s="5"/>
      <c r="F213" s="5"/>
      <c r="H213" s="5"/>
      <c r="I213" s="5"/>
      <c r="M213" s="5"/>
      <c r="S213" s="5"/>
    </row>
    <row r="214" ht="15.75" customHeight="1">
      <c r="C214" s="5"/>
      <c r="D214" s="5"/>
      <c r="F214" s="5"/>
      <c r="H214" s="5"/>
      <c r="I214" s="5"/>
      <c r="M214" s="5"/>
      <c r="S214" s="5"/>
    </row>
    <row r="215" ht="15.75" customHeight="1">
      <c r="C215" s="5"/>
      <c r="D215" s="5"/>
      <c r="F215" s="5"/>
      <c r="H215" s="5"/>
      <c r="I215" s="5"/>
      <c r="M215" s="5"/>
      <c r="S215" s="5"/>
    </row>
    <row r="216" ht="15.75" customHeight="1">
      <c r="C216" s="5"/>
      <c r="D216" s="5"/>
      <c r="F216" s="5"/>
      <c r="H216" s="5"/>
      <c r="I216" s="5"/>
      <c r="M216" s="5"/>
      <c r="S216" s="5"/>
    </row>
    <row r="217" ht="15.75" customHeight="1">
      <c r="C217" s="5"/>
      <c r="D217" s="5"/>
      <c r="F217" s="5"/>
      <c r="H217" s="5"/>
      <c r="I217" s="5"/>
      <c r="M217" s="5"/>
      <c r="S217" s="5"/>
    </row>
    <row r="218" ht="15.75" customHeight="1">
      <c r="C218" s="5"/>
      <c r="D218" s="5"/>
      <c r="F218" s="5"/>
      <c r="H218" s="5"/>
      <c r="I218" s="5"/>
      <c r="M218" s="5"/>
      <c r="S218" s="5"/>
    </row>
    <row r="219" ht="15.75" customHeight="1">
      <c r="C219" s="5"/>
      <c r="D219" s="5"/>
      <c r="F219" s="5"/>
      <c r="H219" s="5"/>
      <c r="I219" s="5"/>
      <c r="M219" s="5"/>
      <c r="S219" s="5"/>
    </row>
    <row r="220" ht="15.75" customHeight="1">
      <c r="C220" s="5"/>
      <c r="D220" s="5"/>
      <c r="F220" s="5"/>
      <c r="H220" s="5"/>
      <c r="I220" s="5"/>
      <c r="M220" s="5"/>
      <c r="S220" s="5"/>
    </row>
    <row r="221" ht="15.75" customHeight="1">
      <c r="C221" s="5"/>
      <c r="D221" s="5"/>
      <c r="F221" s="5"/>
      <c r="H221" s="5"/>
      <c r="I221" s="5"/>
      <c r="M221" s="5"/>
      <c r="S221" s="5"/>
    </row>
    <row r="222" ht="15.75" customHeight="1">
      <c r="C222" s="5"/>
      <c r="D222" s="5"/>
      <c r="F222" s="5"/>
      <c r="H222" s="5"/>
      <c r="I222" s="5"/>
      <c r="M222" s="5"/>
      <c r="S222" s="5"/>
    </row>
    <row r="223" ht="15.75" customHeight="1">
      <c r="C223" s="5"/>
      <c r="D223" s="5"/>
      <c r="F223" s="5"/>
      <c r="H223" s="5"/>
      <c r="I223" s="5"/>
      <c r="M223" s="5"/>
      <c r="S223" s="5"/>
    </row>
    <row r="224" ht="15.75" customHeight="1">
      <c r="C224" s="5"/>
      <c r="D224" s="5"/>
      <c r="F224" s="5"/>
      <c r="H224" s="5"/>
      <c r="I224" s="5"/>
      <c r="M224" s="5"/>
      <c r="S224" s="5"/>
    </row>
    <row r="225" ht="15.75" customHeight="1">
      <c r="C225" s="5"/>
      <c r="D225" s="5"/>
      <c r="F225" s="5"/>
      <c r="H225" s="5"/>
      <c r="I225" s="5"/>
      <c r="M225" s="5"/>
      <c r="S225" s="5"/>
    </row>
    <row r="226" ht="15.75" customHeight="1">
      <c r="C226" s="5"/>
      <c r="D226" s="5"/>
      <c r="F226" s="5"/>
      <c r="H226" s="5"/>
      <c r="I226" s="5"/>
      <c r="M226" s="5"/>
      <c r="S226" s="5"/>
    </row>
    <row r="227" ht="15.75" customHeight="1">
      <c r="C227" s="5"/>
      <c r="D227" s="5"/>
      <c r="F227" s="5"/>
      <c r="H227" s="5"/>
      <c r="I227" s="5"/>
      <c r="M227" s="5"/>
      <c r="S227" s="5"/>
    </row>
    <row r="228" ht="15.75" customHeight="1">
      <c r="C228" s="5"/>
      <c r="D228" s="5"/>
      <c r="F228" s="5"/>
      <c r="H228" s="5"/>
      <c r="I228" s="5"/>
      <c r="M228" s="5"/>
      <c r="S228" s="5"/>
    </row>
    <row r="229" ht="15.75" customHeight="1">
      <c r="C229" s="5"/>
      <c r="D229" s="5"/>
      <c r="F229" s="5"/>
      <c r="H229" s="5"/>
      <c r="I229" s="5"/>
      <c r="M229" s="5"/>
      <c r="S229" s="5"/>
    </row>
    <row r="230" ht="15.75" customHeight="1">
      <c r="C230" s="5"/>
      <c r="D230" s="5"/>
      <c r="F230" s="5"/>
      <c r="H230" s="5"/>
      <c r="I230" s="5"/>
      <c r="M230" s="5"/>
      <c r="S230" s="5"/>
    </row>
    <row r="231" ht="15.75" customHeight="1">
      <c r="C231" s="5"/>
      <c r="D231" s="5"/>
      <c r="F231" s="5"/>
      <c r="H231" s="5"/>
      <c r="I231" s="5"/>
      <c r="M231" s="5"/>
      <c r="S231" s="5"/>
    </row>
    <row r="232" ht="15.75" customHeight="1">
      <c r="C232" s="5"/>
      <c r="D232" s="5"/>
      <c r="F232" s="5"/>
      <c r="H232" s="5"/>
      <c r="I232" s="5"/>
      <c r="M232" s="5"/>
      <c r="S232" s="5"/>
    </row>
    <row r="233" ht="15.75" customHeight="1">
      <c r="C233" s="5"/>
      <c r="D233" s="5"/>
      <c r="F233" s="5"/>
      <c r="H233" s="5"/>
      <c r="I233" s="5"/>
      <c r="M233" s="5"/>
      <c r="S233" s="5"/>
    </row>
    <row r="234" ht="15.75" customHeight="1">
      <c r="C234" s="5"/>
      <c r="D234" s="5"/>
      <c r="F234" s="5"/>
      <c r="H234" s="5"/>
      <c r="I234" s="5"/>
      <c r="M234" s="5"/>
      <c r="S234" s="5"/>
    </row>
    <row r="235" ht="15.75" customHeight="1">
      <c r="C235" s="5"/>
      <c r="D235" s="5"/>
      <c r="F235" s="5"/>
      <c r="H235" s="5"/>
      <c r="I235" s="5"/>
      <c r="M235" s="5"/>
      <c r="S235" s="5"/>
    </row>
    <row r="236" ht="15.75" customHeight="1">
      <c r="C236" s="5"/>
      <c r="D236" s="5"/>
      <c r="F236" s="5"/>
      <c r="H236" s="5"/>
      <c r="I236" s="5"/>
      <c r="M236" s="5"/>
      <c r="S236" s="5"/>
    </row>
    <row r="237" ht="15.75" customHeight="1">
      <c r="C237" s="5"/>
      <c r="D237" s="5"/>
      <c r="F237" s="5"/>
      <c r="H237" s="5"/>
      <c r="I237" s="5"/>
      <c r="M237" s="5"/>
      <c r="S237" s="5"/>
    </row>
    <row r="238" ht="15.75" customHeight="1">
      <c r="C238" s="5"/>
      <c r="D238" s="5"/>
      <c r="F238" s="5"/>
      <c r="H238" s="5"/>
      <c r="I238" s="5"/>
      <c r="M238" s="5"/>
      <c r="S238" s="5"/>
    </row>
    <row r="239" ht="15.75" customHeight="1">
      <c r="C239" s="5"/>
      <c r="D239" s="5"/>
      <c r="F239" s="5"/>
      <c r="H239" s="5"/>
      <c r="I239" s="5"/>
      <c r="M239" s="5"/>
      <c r="S239" s="5"/>
    </row>
    <row r="240" ht="15.75" customHeight="1">
      <c r="C240" s="5"/>
      <c r="D240" s="5"/>
      <c r="F240" s="5"/>
      <c r="H240" s="5"/>
      <c r="I240" s="5"/>
      <c r="M240" s="5"/>
      <c r="S240" s="5"/>
    </row>
    <row r="241" ht="15.75" customHeight="1">
      <c r="C241" s="5"/>
      <c r="D241" s="5"/>
      <c r="F241" s="5"/>
      <c r="H241" s="5"/>
      <c r="I241" s="5"/>
      <c r="M241" s="5"/>
      <c r="S241" s="5"/>
    </row>
    <row r="242" ht="15.75" customHeight="1">
      <c r="C242" s="5"/>
      <c r="D242" s="5"/>
      <c r="F242" s="5"/>
      <c r="H242" s="5"/>
      <c r="I242" s="5"/>
      <c r="M242" s="5"/>
      <c r="S242" s="5"/>
    </row>
    <row r="243" ht="15.75" customHeight="1">
      <c r="C243" s="5"/>
      <c r="D243" s="5"/>
      <c r="F243" s="5"/>
      <c r="H243" s="5"/>
      <c r="I243" s="5"/>
      <c r="M243" s="5"/>
      <c r="S243" s="5"/>
    </row>
    <row r="244" ht="15.75" customHeight="1">
      <c r="C244" s="5"/>
      <c r="D244" s="5"/>
      <c r="F244" s="5"/>
      <c r="H244" s="5"/>
      <c r="I244" s="5"/>
      <c r="M244" s="5"/>
      <c r="S244" s="5"/>
    </row>
    <row r="245" ht="15.75" customHeight="1">
      <c r="C245" s="5"/>
      <c r="D245" s="5"/>
      <c r="F245" s="5"/>
      <c r="H245" s="5"/>
      <c r="I245" s="5"/>
      <c r="M245" s="5"/>
      <c r="S245" s="5"/>
    </row>
    <row r="246" ht="15.75" customHeight="1">
      <c r="C246" s="5"/>
      <c r="D246" s="5"/>
      <c r="F246" s="5"/>
      <c r="H246" s="5"/>
      <c r="I246" s="5"/>
      <c r="M246" s="5"/>
      <c r="S246" s="5"/>
    </row>
    <row r="247" ht="15.75" customHeight="1">
      <c r="C247" s="5"/>
      <c r="D247" s="5"/>
      <c r="F247" s="5"/>
      <c r="H247" s="5"/>
      <c r="I247" s="5"/>
      <c r="M247" s="5"/>
      <c r="S247" s="5"/>
    </row>
    <row r="248" ht="15.75" customHeight="1">
      <c r="C248" s="5"/>
      <c r="D248" s="5"/>
      <c r="F248" s="5"/>
      <c r="H248" s="5"/>
      <c r="I248" s="5"/>
      <c r="M248" s="5"/>
      <c r="S248" s="5"/>
    </row>
    <row r="249" ht="15.75" customHeight="1">
      <c r="C249" s="5"/>
      <c r="D249" s="5"/>
      <c r="F249" s="5"/>
      <c r="H249" s="5"/>
      <c r="I249" s="5"/>
      <c r="M249" s="5"/>
      <c r="S249" s="5"/>
    </row>
    <row r="250" ht="15.75" customHeight="1">
      <c r="C250" s="5"/>
      <c r="D250" s="5"/>
      <c r="F250" s="5"/>
      <c r="H250" s="5"/>
      <c r="I250" s="5"/>
      <c r="M250" s="5"/>
      <c r="S250" s="5"/>
    </row>
    <row r="251" ht="15.75" customHeight="1">
      <c r="C251" s="5"/>
      <c r="D251" s="5"/>
      <c r="F251" s="5"/>
      <c r="H251" s="5"/>
      <c r="I251" s="5"/>
      <c r="M251" s="5"/>
      <c r="S251" s="5"/>
    </row>
    <row r="252" ht="15.75" customHeight="1">
      <c r="C252" s="5"/>
      <c r="D252" s="5"/>
      <c r="F252" s="5"/>
      <c r="H252" s="5"/>
      <c r="I252" s="5"/>
      <c r="M252" s="5"/>
      <c r="S252" s="5"/>
    </row>
    <row r="253" ht="15.75" customHeight="1">
      <c r="C253" s="5"/>
      <c r="D253" s="5"/>
      <c r="F253" s="5"/>
      <c r="H253" s="5"/>
      <c r="I253" s="5"/>
      <c r="M253" s="5"/>
      <c r="S253" s="5"/>
    </row>
    <row r="254" ht="15.75" customHeight="1">
      <c r="C254" s="5"/>
      <c r="D254" s="5"/>
      <c r="F254" s="5"/>
      <c r="H254" s="5"/>
      <c r="I254" s="5"/>
      <c r="M254" s="5"/>
      <c r="S254" s="5"/>
    </row>
    <row r="255" ht="15.75" customHeight="1">
      <c r="C255" s="5"/>
      <c r="D255" s="5"/>
      <c r="F255" s="5"/>
      <c r="H255" s="5"/>
      <c r="I255" s="5"/>
      <c r="M255" s="5"/>
      <c r="S255" s="5"/>
    </row>
    <row r="256" ht="15.75" customHeight="1">
      <c r="C256" s="5"/>
      <c r="D256" s="5"/>
      <c r="F256" s="5"/>
      <c r="H256" s="5"/>
      <c r="I256" s="5"/>
      <c r="M256" s="5"/>
      <c r="S256" s="5"/>
    </row>
    <row r="257" ht="15.75" customHeight="1">
      <c r="C257" s="5"/>
      <c r="D257" s="5"/>
      <c r="F257" s="5"/>
      <c r="H257" s="5"/>
      <c r="I257" s="5"/>
      <c r="M257" s="5"/>
      <c r="S257" s="5"/>
    </row>
    <row r="258" ht="15.75" customHeight="1">
      <c r="C258" s="5"/>
      <c r="D258" s="5"/>
      <c r="F258" s="5"/>
      <c r="H258" s="5"/>
      <c r="I258" s="5"/>
      <c r="M258" s="5"/>
      <c r="S258" s="5"/>
    </row>
    <row r="259" ht="15.75" customHeight="1">
      <c r="C259" s="5"/>
      <c r="D259" s="5"/>
      <c r="F259" s="5"/>
      <c r="H259" s="5"/>
      <c r="I259" s="5"/>
      <c r="M259" s="5"/>
      <c r="S259" s="5"/>
    </row>
    <row r="260" ht="15.75" customHeight="1">
      <c r="C260" s="5"/>
      <c r="D260" s="5"/>
      <c r="F260" s="5"/>
      <c r="H260" s="5"/>
      <c r="I260" s="5"/>
      <c r="M260" s="5"/>
      <c r="S260" s="5"/>
    </row>
    <row r="261" ht="15.75" customHeight="1">
      <c r="C261" s="5"/>
      <c r="D261" s="5"/>
      <c r="F261" s="5"/>
      <c r="H261" s="5"/>
      <c r="I261" s="5"/>
      <c r="M261" s="5"/>
      <c r="S261" s="5"/>
    </row>
    <row r="262" ht="15.75" customHeight="1">
      <c r="C262" s="5"/>
      <c r="D262" s="5"/>
      <c r="F262" s="5"/>
      <c r="H262" s="5"/>
      <c r="I262" s="5"/>
      <c r="M262" s="5"/>
      <c r="S262" s="5"/>
    </row>
    <row r="263" ht="15.75" customHeight="1">
      <c r="C263" s="5"/>
      <c r="D263" s="5"/>
      <c r="F263" s="5"/>
      <c r="H263" s="5"/>
      <c r="I263" s="5"/>
      <c r="M263" s="5"/>
      <c r="S263" s="5"/>
    </row>
    <row r="264" ht="15.75" customHeight="1">
      <c r="C264" s="5"/>
      <c r="D264" s="5"/>
      <c r="F264" s="5"/>
      <c r="H264" s="5"/>
      <c r="I264" s="5"/>
      <c r="M264" s="5"/>
      <c r="S264" s="5"/>
    </row>
    <row r="265" ht="15.75" customHeight="1">
      <c r="C265" s="5"/>
      <c r="D265" s="5"/>
      <c r="F265" s="5"/>
      <c r="H265" s="5"/>
      <c r="I265" s="5"/>
      <c r="M265" s="5"/>
      <c r="S265" s="5"/>
    </row>
    <row r="266" ht="15.75" customHeight="1">
      <c r="C266" s="5"/>
      <c r="D266" s="5"/>
      <c r="F266" s="5"/>
      <c r="H266" s="5"/>
      <c r="I266" s="5"/>
      <c r="M266" s="5"/>
      <c r="S266" s="5"/>
    </row>
    <row r="267" ht="15.75" customHeight="1">
      <c r="C267" s="5"/>
      <c r="D267" s="5"/>
      <c r="F267" s="5"/>
      <c r="H267" s="5"/>
      <c r="I267" s="5"/>
      <c r="M267" s="5"/>
      <c r="S267" s="5"/>
    </row>
    <row r="268" ht="15.75" customHeight="1">
      <c r="C268" s="5"/>
      <c r="D268" s="5"/>
      <c r="F268" s="5"/>
      <c r="H268" s="5"/>
      <c r="I268" s="5"/>
      <c r="M268" s="5"/>
      <c r="S268" s="5"/>
    </row>
    <row r="269" ht="15.75" customHeight="1">
      <c r="C269" s="5"/>
      <c r="D269" s="5"/>
      <c r="F269" s="5"/>
      <c r="H269" s="5"/>
      <c r="I269" s="5"/>
      <c r="M269" s="5"/>
      <c r="S269" s="5"/>
    </row>
    <row r="270" ht="15.75" customHeight="1">
      <c r="C270" s="5"/>
      <c r="D270" s="5"/>
      <c r="F270" s="5"/>
      <c r="H270" s="5"/>
      <c r="I270" s="5"/>
      <c r="M270" s="5"/>
      <c r="S270" s="5"/>
    </row>
    <row r="271" ht="15.75" customHeight="1">
      <c r="C271" s="5"/>
      <c r="D271" s="5"/>
      <c r="F271" s="5"/>
      <c r="H271" s="5"/>
      <c r="I271" s="5"/>
      <c r="M271" s="5"/>
      <c r="S271" s="5"/>
    </row>
    <row r="272" ht="15.75" customHeight="1">
      <c r="C272" s="5"/>
      <c r="D272" s="5"/>
      <c r="F272" s="5"/>
      <c r="H272" s="5"/>
      <c r="I272" s="5"/>
      <c r="M272" s="5"/>
      <c r="S272" s="5"/>
    </row>
    <row r="273" ht="15.75" customHeight="1">
      <c r="C273" s="5"/>
      <c r="D273" s="5"/>
      <c r="F273" s="5"/>
      <c r="H273" s="5"/>
      <c r="I273" s="5"/>
      <c r="M273" s="5"/>
      <c r="S273" s="5"/>
    </row>
    <row r="274" ht="15.75" customHeight="1">
      <c r="C274" s="5"/>
      <c r="D274" s="5"/>
      <c r="F274" s="5"/>
      <c r="H274" s="5"/>
      <c r="I274" s="5"/>
      <c r="M274" s="5"/>
      <c r="S274" s="5"/>
    </row>
    <row r="275" ht="15.75" customHeight="1">
      <c r="C275" s="5"/>
      <c r="D275" s="5"/>
      <c r="F275" s="5"/>
      <c r="H275" s="5"/>
      <c r="I275" s="5"/>
      <c r="M275" s="5"/>
      <c r="S275" s="5"/>
    </row>
    <row r="276" ht="15.75" customHeight="1">
      <c r="C276" s="5"/>
      <c r="D276" s="5"/>
      <c r="F276" s="5"/>
      <c r="H276" s="5"/>
      <c r="I276" s="5"/>
      <c r="M276" s="5"/>
      <c r="S276" s="5"/>
    </row>
    <row r="277" ht="15.75" customHeight="1">
      <c r="C277" s="5"/>
      <c r="D277" s="5"/>
      <c r="F277" s="5"/>
      <c r="H277" s="5"/>
      <c r="I277" s="5"/>
      <c r="M277" s="5"/>
      <c r="S277" s="5"/>
    </row>
    <row r="278" ht="15.75" customHeight="1">
      <c r="C278" s="5"/>
      <c r="D278" s="5"/>
      <c r="F278" s="5"/>
      <c r="H278" s="5"/>
      <c r="I278" s="5"/>
      <c r="M278" s="5"/>
      <c r="S278" s="5"/>
    </row>
    <row r="279" ht="15.75" customHeight="1">
      <c r="C279" s="5"/>
      <c r="D279" s="5"/>
      <c r="F279" s="5"/>
      <c r="H279" s="5"/>
      <c r="I279" s="5"/>
      <c r="M279" s="5"/>
      <c r="S279" s="5"/>
    </row>
    <row r="280" ht="15.75" customHeight="1">
      <c r="C280" s="5"/>
      <c r="D280" s="5"/>
      <c r="F280" s="5"/>
      <c r="H280" s="5"/>
      <c r="I280" s="5"/>
      <c r="M280" s="5"/>
      <c r="S280" s="5"/>
    </row>
    <row r="281" ht="15.75" customHeight="1">
      <c r="C281" s="5"/>
      <c r="D281" s="5"/>
      <c r="F281" s="5"/>
      <c r="H281" s="5"/>
      <c r="I281" s="5"/>
      <c r="M281" s="5"/>
      <c r="S281" s="5"/>
    </row>
    <row r="282" ht="15.75" customHeight="1">
      <c r="C282" s="5"/>
      <c r="D282" s="5"/>
      <c r="F282" s="5"/>
      <c r="H282" s="5"/>
      <c r="I282" s="5"/>
      <c r="M282" s="5"/>
      <c r="S282" s="5"/>
    </row>
    <row r="283" ht="15.75" customHeight="1">
      <c r="C283" s="5"/>
      <c r="D283" s="5"/>
      <c r="F283" s="5"/>
      <c r="H283" s="5"/>
      <c r="I283" s="5"/>
      <c r="M283" s="5"/>
      <c r="S283" s="5"/>
    </row>
    <row r="284" ht="15.75" customHeight="1">
      <c r="C284" s="5"/>
      <c r="D284" s="5"/>
      <c r="F284" s="5"/>
      <c r="H284" s="5"/>
      <c r="I284" s="5"/>
      <c r="M284" s="5"/>
      <c r="S284" s="5"/>
    </row>
    <row r="285" ht="15.75" customHeight="1">
      <c r="C285" s="5"/>
      <c r="D285" s="5"/>
      <c r="F285" s="5"/>
      <c r="H285" s="5"/>
      <c r="I285" s="5"/>
      <c r="M285" s="5"/>
      <c r="S285" s="5"/>
    </row>
    <row r="286" ht="15.75" customHeight="1">
      <c r="C286" s="5"/>
      <c r="D286" s="5"/>
      <c r="F286" s="5"/>
      <c r="H286" s="5"/>
      <c r="I286" s="5"/>
      <c r="M286" s="5"/>
      <c r="S286" s="5"/>
    </row>
    <row r="287" ht="15.75" customHeight="1">
      <c r="C287" s="5"/>
      <c r="D287" s="5"/>
      <c r="F287" s="5"/>
      <c r="H287" s="5"/>
      <c r="I287" s="5"/>
      <c r="M287" s="5"/>
      <c r="S287" s="5"/>
    </row>
    <row r="288" ht="15.75" customHeight="1">
      <c r="C288" s="5"/>
      <c r="D288" s="5"/>
      <c r="F288" s="5"/>
      <c r="H288" s="5"/>
      <c r="I288" s="5"/>
      <c r="M288" s="5"/>
      <c r="S288" s="5"/>
    </row>
    <row r="289" ht="15.75" customHeight="1">
      <c r="C289" s="5"/>
      <c r="D289" s="5"/>
      <c r="F289" s="5"/>
      <c r="H289" s="5"/>
      <c r="I289" s="5"/>
      <c r="M289" s="5"/>
      <c r="S289" s="5"/>
    </row>
    <row r="290" ht="15.75" customHeight="1">
      <c r="C290" s="5"/>
      <c r="D290" s="5"/>
      <c r="F290" s="5"/>
      <c r="H290" s="5"/>
      <c r="I290" s="5"/>
      <c r="M290" s="5"/>
      <c r="S290" s="5"/>
    </row>
    <row r="291" ht="15.75" customHeight="1">
      <c r="C291" s="5"/>
      <c r="D291" s="5"/>
      <c r="F291" s="5"/>
      <c r="H291" s="5"/>
      <c r="I291" s="5"/>
      <c r="M291" s="5"/>
      <c r="S291" s="5"/>
    </row>
    <row r="292" ht="15.75" customHeight="1">
      <c r="C292" s="5"/>
      <c r="D292" s="5"/>
      <c r="F292" s="5"/>
      <c r="H292" s="5"/>
      <c r="I292" s="5"/>
      <c r="M292" s="5"/>
      <c r="S292" s="5"/>
    </row>
    <row r="293" ht="15.75" customHeight="1">
      <c r="C293" s="5"/>
      <c r="D293" s="5"/>
      <c r="F293" s="5"/>
      <c r="H293" s="5"/>
      <c r="I293" s="5"/>
      <c r="M293" s="5"/>
      <c r="S293" s="5"/>
    </row>
    <row r="294" ht="15.75" customHeight="1">
      <c r="C294" s="5"/>
      <c r="D294" s="5"/>
      <c r="F294" s="5"/>
      <c r="H294" s="5"/>
      <c r="I294" s="5"/>
      <c r="M294" s="5"/>
      <c r="S294" s="5"/>
    </row>
    <row r="295" ht="15.75" customHeight="1">
      <c r="C295" s="5"/>
      <c r="D295" s="5"/>
      <c r="F295" s="5"/>
      <c r="H295" s="5"/>
      <c r="I295" s="5"/>
      <c r="M295" s="5"/>
      <c r="S295" s="5"/>
    </row>
    <row r="296" ht="15.75" customHeight="1">
      <c r="C296" s="5"/>
      <c r="D296" s="5"/>
      <c r="F296" s="5"/>
      <c r="H296" s="5"/>
      <c r="I296" s="5"/>
      <c r="M296" s="5"/>
      <c r="S296" s="5"/>
    </row>
    <row r="297" ht="15.75" customHeight="1">
      <c r="C297" s="5"/>
      <c r="D297" s="5"/>
      <c r="F297" s="5"/>
      <c r="H297" s="5"/>
      <c r="I297" s="5"/>
      <c r="M297" s="5"/>
      <c r="S297" s="5"/>
    </row>
    <row r="298" ht="15.75" customHeight="1">
      <c r="C298" s="5"/>
      <c r="D298" s="5"/>
      <c r="F298" s="5"/>
      <c r="H298" s="5"/>
      <c r="I298" s="5"/>
      <c r="M298" s="5"/>
      <c r="S298" s="5"/>
    </row>
    <row r="299" ht="15.75" customHeight="1">
      <c r="C299" s="5"/>
      <c r="D299" s="5"/>
      <c r="F299" s="5"/>
      <c r="H299" s="5"/>
      <c r="I299" s="5"/>
      <c r="M299" s="5"/>
      <c r="S299" s="5"/>
    </row>
    <row r="300" ht="15.75" customHeight="1">
      <c r="C300" s="5"/>
      <c r="D300" s="5"/>
      <c r="F300" s="5"/>
      <c r="H300" s="5"/>
      <c r="I300" s="5"/>
      <c r="M300" s="5"/>
      <c r="S300" s="5"/>
    </row>
    <row r="301" ht="15.75" customHeight="1">
      <c r="C301" s="5"/>
      <c r="D301" s="5"/>
      <c r="F301" s="5"/>
      <c r="H301" s="5"/>
      <c r="I301" s="5"/>
      <c r="M301" s="5"/>
      <c r="S301" s="5"/>
    </row>
    <row r="302" ht="15.75" customHeight="1">
      <c r="C302" s="5"/>
      <c r="D302" s="5"/>
      <c r="F302" s="5"/>
      <c r="H302" s="5"/>
      <c r="I302" s="5"/>
      <c r="M302" s="5"/>
      <c r="S302" s="5"/>
    </row>
    <row r="303" ht="15.75" customHeight="1">
      <c r="C303" s="5"/>
      <c r="D303" s="5"/>
      <c r="F303" s="5"/>
      <c r="H303" s="5"/>
      <c r="I303" s="5"/>
      <c r="M303" s="5"/>
      <c r="S303" s="5"/>
    </row>
    <row r="304" ht="15.75" customHeight="1">
      <c r="C304" s="5"/>
      <c r="D304" s="5"/>
      <c r="F304" s="5"/>
      <c r="H304" s="5"/>
      <c r="I304" s="5"/>
      <c r="M304" s="5"/>
      <c r="S304" s="5"/>
    </row>
    <row r="305" ht="15.75" customHeight="1">
      <c r="C305" s="5"/>
      <c r="D305" s="5"/>
      <c r="F305" s="5"/>
      <c r="H305" s="5"/>
      <c r="I305" s="5"/>
      <c r="M305" s="5"/>
      <c r="S305" s="5"/>
    </row>
    <row r="306" ht="15.75" customHeight="1">
      <c r="C306" s="5"/>
      <c r="D306" s="5"/>
      <c r="F306" s="5"/>
      <c r="H306" s="5"/>
      <c r="I306" s="5"/>
      <c r="M306" s="5"/>
      <c r="S306" s="5"/>
    </row>
    <row r="307" ht="15.75" customHeight="1">
      <c r="C307" s="5"/>
      <c r="D307" s="5"/>
      <c r="F307" s="5"/>
      <c r="H307" s="5"/>
      <c r="I307" s="5"/>
      <c r="M307" s="5"/>
      <c r="S307" s="5"/>
    </row>
    <row r="308" ht="15.75" customHeight="1">
      <c r="C308" s="5"/>
      <c r="D308" s="5"/>
      <c r="F308" s="5"/>
      <c r="H308" s="5"/>
      <c r="I308" s="5"/>
      <c r="M308" s="5"/>
      <c r="S308" s="5"/>
    </row>
    <row r="309" ht="15.75" customHeight="1">
      <c r="C309" s="5"/>
      <c r="D309" s="5"/>
      <c r="F309" s="5"/>
      <c r="H309" s="5"/>
      <c r="I309" s="5"/>
      <c r="M309" s="5"/>
      <c r="S309" s="5"/>
    </row>
    <row r="310" ht="15.75" customHeight="1">
      <c r="C310" s="5"/>
      <c r="D310" s="5"/>
      <c r="F310" s="5"/>
      <c r="H310" s="5"/>
      <c r="I310" s="5"/>
      <c r="M310" s="5"/>
      <c r="S310" s="5"/>
    </row>
    <row r="311" ht="15.75" customHeight="1">
      <c r="C311" s="5"/>
      <c r="D311" s="5"/>
      <c r="F311" s="5"/>
      <c r="H311" s="5"/>
      <c r="I311" s="5"/>
      <c r="M311" s="5"/>
      <c r="S311" s="5"/>
    </row>
    <row r="312" ht="15.75" customHeight="1">
      <c r="C312" s="5"/>
      <c r="D312" s="5"/>
      <c r="F312" s="5"/>
      <c r="H312" s="5"/>
      <c r="I312" s="5"/>
      <c r="M312" s="5"/>
      <c r="S312" s="5"/>
    </row>
    <row r="313" ht="15.75" customHeight="1">
      <c r="C313" s="5"/>
      <c r="D313" s="5"/>
      <c r="F313" s="5"/>
      <c r="H313" s="5"/>
      <c r="I313" s="5"/>
      <c r="M313" s="5"/>
      <c r="S313" s="5"/>
    </row>
    <row r="314" ht="15.75" customHeight="1">
      <c r="C314" s="5"/>
      <c r="D314" s="5"/>
      <c r="F314" s="5"/>
      <c r="H314" s="5"/>
      <c r="I314" s="5"/>
      <c r="M314" s="5"/>
      <c r="S314" s="5"/>
    </row>
    <row r="315" ht="15.75" customHeight="1">
      <c r="C315" s="5"/>
      <c r="D315" s="5"/>
      <c r="F315" s="5"/>
      <c r="H315" s="5"/>
      <c r="I315" s="5"/>
      <c r="M315" s="5"/>
      <c r="S315" s="5"/>
    </row>
    <row r="316" ht="15.75" customHeight="1">
      <c r="C316" s="5"/>
      <c r="D316" s="5"/>
      <c r="F316" s="5"/>
      <c r="H316" s="5"/>
      <c r="I316" s="5"/>
      <c r="M316" s="5"/>
      <c r="S316" s="5"/>
    </row>
    <row r="317" ht="15.75" customHeight="1">
      <c r="C317" s="5"/>
      <c r="D317" s="5"/>
      <c r="F317" s="5"/>
      <c r="H317" s="5"/>
      <c r="I317" s="5"/>
      <c r="M317" s="5"/>
      <c r="S317" s="5"/>
    </row>
    <row r="318" ht="15.75" customHeight="1">
      <c r="C318" s="5"/>
      <c r="D318" s="5"/>
      <c r="F318" s="5"/>
      <c r="H318" s="5"/>
      <c r="I318" s="5"/>
      <c r="M318" s="5"/>
      <c r="S318" s="5"/>
    </row>
    <row r="319" ht="15.75" customHeight="1">
      <c r="C319" s="5"/>
      <c r="D319" s="5"/>
      <c r="F319" s="5"/>
      <c r="H319" s="5"/>
      <c r="I319" s="5"/>
      <c r="M319" s="5"/>
      <c r="S319" s="5"/>
    </row>
    <row r="320" ht="15.75" customHeight="1">
      <c r="C320" s="5"/>
      <c r="D320" s="5"/>
      <c r="F320" s="5"/>
      <c r="H320" s="5"/>
      <c r="I320" s="5"/>
      <c r="M320" s="5"/>
      <c r="S320" s="5"/>
    </row>
    <row r="321" ht="15.75" customHeight="1">
      <c r="C321" s="5"/>
      <c r="D321" s="5"/>
      <c r="F321" s="5"/>
      <c r="H321" s="5"/>
      <c r="I321" s="5"/>
      <c r="M321" s="5"/>
      <c r="S321" s="5"/>
    </row>
    <row r="322" ht="15.75" customHeight="1">
      <c r="C322" s="5"/>
      <c r="D322" s="5"/>
      <c r="F322" s="5"/>
      <c r="H322" s="5"/>
      <c r="I322" s="5"/>
      <c r="M322" s="5"/>
      <c r="S322" s="5"/>
    </row>
    <row r="323" ht="15.75" customHeight="1">
      <c r="C323" s="5"/>
      <c r="D323" s="5"/>
      <c r="F323" s="5"/>
      <c r="H323" s="5"/>
      <c r="I323" s="5"/>
      <c r="M323" s="5"/>
      <c r="S323" s="5"/>
    </row>
    <row r="324" ht="15.75" customHeight="1">
      <c r="C324" s="5"/>
      <c r="D324" s="5"/>
      <c r="F324" s="5"/>
      <c r="H324" s="5"/>
      <c r="I324" s="5"/>
      <c r="M324" s="5"/>
      <c r="S324" s="5"/>
    </row>
    <row r="325" ht="15.75" customHeight="1">
      <c r="C325" s="5"/>
      <c r="D325" s="5"/>
      <c r="F325" s="5"/>
      <c r="H325" s="5"/>
      <c r="I325" s="5"/>
      <c r="M325" s="5"/>
      <c r="S325" s="5"/>
    </row>
    <row r="326" ht="15.75" customHeight="1">
      <c r="C326" s="5"/>
      <c r="D326" s="5"/>
      <c r="F326" s="5"/>
      <c r="H326" s="5"/>
      <c r="I326" s="5"/>
      <c r="M326" s="5"/>
      <c r="S326" s="5"/>
    </row>
    <row r="327" ht="15.75" customHeight="1">
      <c r="C327" s="5"/>
      <c r="D327" s="5"/>
      <c r="F327" s="5"/>
      <c r="H327" s="5"/>
      <c r="I327" s="5"/>
      <c r="M327" s="5"/>
      <c r="S327" s="5"/>
    </row>
    <row r="328" ht="15.75" customHeight="1">
      <c r="C328" s="5"/>
      <c r="D328" s="5"/>
      <c r="F328" s="5"/>
      <c r="H328" s="5"/>
      <c r="I328" s="5"/>
      <c r="M328" s="5"/>
      <c r="S328" s="5"/>
    </row>
    <row r="329" ht="15.75" customHeight="1">
      <c r="C329" s="5"/>
      <c r="D329" s="5"/>
      <c r="F329" s="5"/>
      <c r="H329" s="5"/>
      <c r="I329" s="5"/>
      <c r="M329" s="5"/>
      <c r="S329" s="5"/>
    </row>
    <row r="330" ht="15.75" customHeight="1">
      <c r="C330" s="5"/>
      <c r="D330" s="5"/>
      <c r="F330" s="5"/>
      <c r="H330" s="5"/>
      <c r="I330" s="5"/>
      <c r="M330" s="5"/>
      <c r="S330" s="5"/>
    </row>
    <row r="331" ht="15.75" customHeight="1">
      <c r="C331" s="5"/>
      <c r="D331" s="5"/>
      <c r="F331" s="5"/>
      <c r="H331" s="5"/>
      <c r="I331" s="5"/>
      <c r="M331" s="5"/>
      <c r="S331" s="5"/>
    </row>
    <row r="332" ht="15.75" customHeight="1">
      <c r="C332" s="5"/>
      <c r="D332" s="5"/>
      <c r="F332" s="5"/>
      <c r="H332" s="5"/>
      <c r="I332" s="5"/>
      <c r="M332" s="5"/>
      <c r="S332" s="5"/>
    </row>
    <row r="333" ht="15.75" customHeight="1">
      <c r="C333" s="5"/>
      <c r="D333" s="5"/>
      <c r="F333" s="5"/>
      <c r="H333" s="5"/>
      <c r="I333" s="5"/>
      <c r="M333" s="5"/>
      <c r="S333" s="5"/>
    </row>
    <row r="334" ht="15.75" customHeight="1">
      <c r="C334" s="5"/>
      <c r="D334" s="5"/>
      <c r="F334" s="5"/>
      <c r="H334" s="5"/>
      <c r="I334" s="5"/>
      <c r="M334" s="5"/>
      <c r="S334" s="5"/>
    </row>
    <row r="335" ht="15.75" customHeight="1">
      <c r="C335" s="5"/>
      <c r="D335" s="5"/>
      <c r="F335" s="5"/>
      <c r="H335" s="5"/>
      <c r="I335" s="5"/>
      <c r="M335" s="5"/>
      <c r="S335" s="5"/>
    </row>
    <row r="336" ht="15.75" customHeight="1">
      <c r="C336" s="5"/>
      <c r="D336" s="5"/>
      <c r="F336" s="5"/>
      <c r="H336" s="5"/>
      <c r="I336" s="5"/>
      <c r="M336" s="5"/>
      <c r="S336" s="5"/>
    </row>
    <row r="337" ht="15.75" customHeight="1">
      <c r="C337" s="5"/>
      <c r="D337" s="5"/>
      <c r="F337" s="5"/>
      <c r="H337" s="5"/>
      <c r="I337" s="5"/>
      <c r="M337" s="5"/>
      <c r="S337" s="5"/>
    </row>
    <row r="338" ht="15.75" customHeight="1">
      <c r="C338" s="5"/>
      <c r="D338" s="5"/>
      <c r="F338" s="5"/>
      <c r="H338" s="5"/>
      <c r="I338" s="5"/>
      <c r="M338" s="5"/>
      <c r="S338" s="5"/>
    </row>
    <row r="339" ht="15.75" customHeight="1">
      <c r="C339" s="5"/>
      <c r="D339" s="5"/>
      <c r="F339" s="5"/>
      <c r="H339" s="5"/>
      <c r="I339" s="5"/>
      <c r="M339" s="5"/>
      <c r="S339" s="5"/>
    </row>
    <row r="340" ht="15.75" customHeight="1">
      <c r="C340" s="5"/>
      <c r="D340" s="5"/>
      <c r="F340" s="5"/>
      <c r="H340" s="5"/>
      <c r="I340" s="5"/>
      <c r="M340" s="5"/>
      <c r="S340" s="5"/>
    </row>
    <row r="341" ht="15.75" customHeight="1">
      <c r="C341" s="5"/>
      <c r="D341" s="5"/>
      <c r="F341" s="5"/>
      <c r="H341" s="5"/>
      <c r="I341" s="5"/>
      <c r="M341" s="5"/>
      <c r="S341" s="5"/>
    </row>
    <row r="342" ht="15.75" customHeight="1">
      <c r="C342" s="5"/>
      <c r="D342" s="5"/>
      <c r="F342" s="5"/>
      <c r="H342" s="5"/>
      <c r="I342" s="5"/>
      <c r="M342" s="5"/>
      <c r="S342" s="5"/>
    </row>
    <row r="343" ht="15.75" customHeight="1">
      <c r="C343" s="5"/>
      <c r="D343" s="5"/>
      <c r="F343" s="5"/>
      <c r="H343" s="5"/>
      <c r="I343" s="5"/>
      <c r="M343" s="5"/>
      <c r="S343" s="5"/>
    </row>
    <row r="344" ht="15.75" customHeight="1">
      <c r="C344" s="5"/>
      <c r="D344" s="5"/>
      <c r="F344" s="5"/>
      <c r="H344" s="5"/>
      <c r="I344" s="5"/>
      <c r="M344" s="5"/>
      <c r="S344" s="5"/>
    </row>
    <row r="345" ht="15.75" customHeight="1">
      <c r="C345" s="5"/>
      <c r="D345" s="5"/>
      <c r="F345" s="5"/>
      <c r="H345" s="5"/>
      <c r="I345" s="5"/>
      <c r="M345" s="5"/>
      <c r="S345" s="5"/>
    </row>
    <row r="346" ht="15.75" customHeight="1">
      <c r="C346" s="5"/>
      <c r="D346" s="5"/>
      <c r="F346" s="5"/>
      <c r="H346" s="5"/>
      <c r="I346" s="5"/>
      <c r="M346" s="5"/>
      <c r="S346" s="5"/>
    </row>
    <row r="347" ht="15.75" customHeight="1">
      <c r="C347" s="5"/>
      <c r="D347" s="5"/>
      <c r="F347" s="5"/>
      <c r="H347" s="5"/>
      <c r="I347" s="5"/>
      <c r="M347" s="5"/>
      <c r="S347" s="5"/>
    </row>
    <row r="348" ht="15.75" customHeight="1">
      <c r="C348" s="5"/>
      <c r="D348" s="5"/>
      <c r="F348" s="5"/>
      <c r="H348" s="5"/>
      <c r="I348" s="5"/>
      <c r="M348" s="5"/>
      <c r="S348" s="5"/>
    </row>
    <row r="349" ht="15.75" customHeight="1">
      <c r="C349" s="5"/>
      <c r="D349" s="5"/>
      <c r="F349" s="5"/>
      <c r="H349" s="5"/>
      <c r="I349" s="5"/>
      <c r="M349" s="5"/>
      <c r="S349" s="5"/>
    </row>
    <row r="350" ht="15.75" customHeight="1">
      <c r="C350" s="5"/>
      <c r="D350" s="5"/>
      <c r="F350" s="5"/>
      <c r="H350" s="5"/>
      <c r="I350" s="5"/>
      <c r="M350" s="5"/>
      <c r="S350" s="5"/>
    </row>
    <row r="351" ht="15.75" customHeight="1">
      <c r="C351" s="5"/>
      <c r="D351" s="5"/>
      <c r="F351" s="5"/>
      <c r="H351" s="5"/>
      <c r="I351" s="5"/>
      <c r="M351" s="5"/>
      <c r="S351" s="5"/>
    </row>
    <row r="352" ht="15.75" customHeight="1">
      <c r="C352" s="5"/>
      <c r="D352" s="5"/>
      <c r="F352" s="5"/>
      <c r="H352" s="5"/>
      <c r="I352" s="5"/>
      <c r="M352" s="5"/>
      <c r="S352" s="5"/>
    </row>
    <row r="353" ht="15.75" customHeight="1">
      <c r="C353" s="5"/>
      <c r="D353" s="5"/>
      <c r="F353" s="5"/>
      <c r="H353" s="5"/>
      <c r="I353" s="5"/>
      <c r="M353" s="5"/>
      <c r="S353" s="5"/>
    </row>
    <row r="354" ht="15.75" customHeight="1">
      <c r="C354" s="5"/>
      <c r="D354" s="5"/>
      <c r="F354" s="5"/>
      <c r="H354" s="5"/>
      <c r="I354" s="5"/>
      <c r="M354" s="5"/>
      <c r="S354" s="5"/>
    </row>
    <row r="355" ht="15.75" customHeight="1">
      <c r="C355" s="5"/>
      <c r="D355" s="5"/>
      <c r="F355" s="5"/>
      <c r="H355" s="5"/>
      <c r="I355" s="5"/>
      <c r="M355" s="5"/>
      <c r="S355" s="5"/>
    </row>
    <row r="356" ht="15.75" customHeight="1">
      <c r="C356" s="5"/>
      <c r="D356" s="5"/>
      <c r="F356" s="5"/>
      <c r="H356" s="5"/>
      <c r="I356" s="5"/>
      <c r="M356" s="5"/>
      <c r="S356" s="5"/>
    </row>
    <row r="357" ht="15.75" customHeight="1">
      <c r="C357" s="5"/>
      <c r="D357" s="5"/>
      <c r="F357" s="5"/>
      <c r="H357" s="5"/>
      <c r="I357" s="5"/>
      <c r="M357" s="5"/>
      <c r="S357" s="5"/>
    </row>
    <row r="358" ht="15.75" customHeight="1">
      <c r="C358" s="5"/>
      <c r="D358" s="5"/>
      <c r="F358" s="5"/>
      <c r="H358" s="5"/>
      <c r="I358" s="5"/>
      <c r="M358" s="5"/>
      <c r="S358" s="5"/>
    </row>
    <row r="359" ht="15.75" customHeight="1">
      <c r="C359" s="5"/>
      <c r="D359" s="5"/>
      <c r="F359" s="5"/>
      <c r="H359" s="5"/>
      <c r="I359" s="5"/>
      <c r="M359" s="5"/>
      <c r="S359" s="5"/>
    </row>
    <row r="360" ht="15.75" customHeight="1">
      <c r="C360" s="5"/>
      <c r="D360" s="5"/>
      <c r="F360" s="5"/>
      <c r="H360" s="5"/>
      <c r="I360" s="5"/>
      <c r="M360" s="5"/>
      <c r="S360" s="5"/>
    </row>
    <row r="361" ht="15.75" customHeight="1">
      <c r="C361" s="5"/>
      <c r="D361" s="5"/>
      <c r="F361" s="5"/>
      <c r="H361" s="5"/>
      <c r="I361" s="5"/>
      <c r="M361" s="5"/>
      <c r="S361" s="5"/>
    </row>
    <row r="362" ht="15.75" customHeight="1">
      <c r="C362" s="5"/>
      <c r="D362" s="5"/>
      <c r="F362" s="5"/>
      <c r="H362" s="5"/>
      <c r="I362" s="5"/>
      <c r="M362" s="5"/>
      <c r="S362" s="5"/>
    </row>
    <row r="363" ht="15.75" customHeight="1">
      <c r="C363" s="5"/>
      <c r="D363" s="5"/>
      <c r="F363" s="5"/>
      <c r="H363" s="5"/>
      <c r="I363" s="5"/>
      <c r="M363" s="5"/>
      <c r="S363" s="5"/>
    </row>
    <row r="364" ht="15.75" customHeight="1">
      <c r="C364" s="5"/>
      <c r="D364" s="5"/>
      <c r="F364" s="5"/>
      <c r="H364" s="5"/>
      <c r="I364" s="5"/>
      <c r="M364" s="5"/>
      <c r="S364" s="5"/>
    </row>
    <row r="365" ht="15.75" customHeight="1">
      <c r="C365" s="5"/>
      <c r="D365" s="5"/>
      <c r="F365" s="5"/>
      <c r="H365" s="5"/>
      <c r="I365" s="5"/>
      <c r="M365" s="5"/>
      <c r="S365" s="5"/>
    </row>
    <row r="366" ht="15.75" customHeight="1">
      <c r="C366" s="5"/>
      <c r="D366" s="5"/>
      <c r="F366" s="5"/>
      <c r="H366" s="5"/>
      <c r="I366" s="5"/>
      <c r="M366" s="5"/>
      <c r="S366" s="5"/>
    </row>
    <row r="367" ht="15.75" customHeight="1">
      <c r="C367" s="5"/>
      <c r="D367" s="5"/>
      <c r="F367" s="5"/>
      <c r="H367" s="5"/>
      <c r="I367" s="5"/>
      <c r="M367" s="5"/>
      <c r="S367" s="5"/>
    </row>
    <row r="368" ht="15.75" customHeight="1">
      <c r="C368" s="5"/>
      <c r="D368" s="5"/>
      <c r="F368" s="5"/>
      <c r="H368" s="5"/>
      <c r="I368" s="5"/>
      <c r="M368" s="5"/>
      <c r="S368" s="5"/>
    </row>
    <row r="369" ht="15.75" customHeight="1">
      <c r="C369" s="5"/>
      <c r="D369" s="5"/>
      <c r="F369" s="5"/>
      <c r="H369" s="5"/>
      <c r="I369" s="5"/>
      <c r="M369" s="5"/>
      <c r="S369" s="5"/>
    </row>
    <row r="370" ht="15.75" customHeight="1">
      <c r="C370" s="5"/>
      <c r="D370" s="5"/>
      <c r="F370" s="5"/>
      <c r="H370" s="5"/>
      <c r="I370" s="5"/>
      <c r="M370" s="5"/>
      <c r="S370" s="5"/>
    </row>
    <row r="371" ht="15.75" customHeight="1">
      <c r="C371" s="5"/>
      <c r="D371" s="5"/>
      <c r="F371" s="5"/>
      <c r="H371" s="5"/>
      <c r="I371" s="5"/>
      <c r="M371" s="5"/>
      <c r="S371" s="5"/>
    </row>
    <row r="372" ht="15.75" customHeight="1">
      <c r="C372" s="5"/>
      <c r="D372" s="5"/>
      <c r="F372" s="5"/>
      <c r="H372" s="5"/>
      <c r="I372" s="5"/>
      <c r="M372" s="5"/>
      <c r="S372" s="5"/>
    </row>
    <row r="373" ht="15.75" customHeight="1">
      <c r="C373" s="5"/>
      <c r="D373" s="5"/>
      <c r="F373" s="5"/>
      <c r="H373" s="5"/>
      <c r="I373" s="5"/>
      <c r="M373" s="5"/>
      <c r="S373" s="5"/>
    </row>
    <row r="374" ht="15.75" customHeight="1">
      <c r="C374" s="5"/>
      <c r="D374" s="5"/>
      <c r="F374" s="5"/>
      <c r="H374" s="5"/>
      <c r="I374" s="5"/>
      <c r="M374" s="5"/>
      <c r="S374" s="5"/>
    </row>
    <row r="375" ht="15.75" customHeight="1">
      <c r="C375" s="5"/>
      <c r="D375" s="5"/>
      <c r="F375" s="5"/>
      <c r="H375" s="5"/>
      <c r="I375" s="5"/>
      <c r="M375" s="5"/>
      <c r="S375" s="5"/>
    </row>
    <row r="376" ht="15.75" customHeight="1">
      <c r="C376" s="5"/>
      <c r="D376" s="5"/>
      <c r="F376" s="5"/>
      <c r="H376" s="5"/>
      <c r="I376" s="5"/>
      <c r="M376" s="5"/>
      <c r="S376" s="5"/>
    </row>
    <row r="377" ht="15.75" customHeight="1">
      <c r="C377" s="5"/>
      <c r="D377" s="5"/>
      <c r="F377" s="5"/>
      <c r="H377" s="5"/>
      <c r="I377" s="5"/>
      <c r="M377" s="5"/>
      <c r="S377" s="5"/>
    </row>
    <row r="378" ht="15.75" customHeight="1">
      <c r="C378" s="5"/>
      <c r="D378" s="5"/>
      <c r="F378" s="5"/>
      <c r="H378" s="5"/>
      <c r="I378" s="5"/>
      <c r="M378" s="5"/>
      <c r="S378" s="5"/>
    </row>
    <row r="379" ht="15.75" customHeight="1">
      <c r="C379" s="5"/>
      <c r="D379" s="5"/>
      <c r="F379" s="5"/>
      <c r="H379" s="5"/>
      <c r="I379" s="5"/>
      <c r="M379" s="5"/>
      <c r="S379" s="5"/>
    </row>
    <row r="380" ht="15.75" customHeight="1">
      <c r="C380" s="5"/>
      <c r="D380" s="5"/>
      <c r="F380" s="5"/>
      <c r="H380" s="5"/>
      <c r="I380" s="5"/>
      <c r="M380" s="5"/>
      <c r="S380" s="5"/>
    </row>
    <row r="381" ht="15.75" customHeight="1">
      <c r="C381" s="5"/>
      <c r="D381" s="5"/>
      <c r="F381" s="5"/>
      <c r="H381" s="5"/>
      <c r="I381" s="5"/>
      <c r="M381" s="5"/>
      <c r="S381" s="5"/>
    </row>
    <row r="382" ht="15.75" customHeight="1">
      <c r="C382" s="5"/>
      <c r="D382" s="5"/>
      <c r="F382" s="5"/>
      <c r="H382" s="5"/>
      <c r="I382" s="5"/>
      <c r="M382" s="5"/>
      <c r="S382" s="5"/>
    </row>
    <row r="383" ht="15.75" customHeight="1">
      <c r="C383" s="5"/>
      <c r="D383" s="5"/>
      <c r="F383" s="5"/>
      <c r="H383" s="5"/>
      <c r="I383" s="5"/>
      <c r="M383" s="5"/>
      <c r="S383" s="5"/>
    </row>
    <row r="384" ht="15.75" customHeight="1">
      <c r="C384" s="5"/>
      <c r="D384" s="5"/>
      <c r="F384" s="5"/>
      <c r="H384" s="5"/>
      <c r="I384" s="5"/>
      <c r="M384" s="5"/>
      <c r="S384" s="5"/>
    </row>
    <row r="385" ht="15.75" customHeight="1">
      <c r="C385" s="5"/>
      <c r="D385" s="5"/>
      <c r="F385" s="5"/>
      <c r="H385" s="5"/>
      <c r="I385" s="5"/>
      <c r="M385" s="5"/>
      <c r="S385" s="5"/>
    </row>
    <row r="386" ht="15.75" customHeight="1">
      <c r="C386" s="5"/>
      <c r="D386" s="5"/>
      <c r="F386" s="5"/>
      <c r="H386" s="5"/>
      <c r="I386" s="5"/>
      <c r="M386" s="5"/>
      <c r="S386" s="5"/>
    </row>
    <row r="387" ht="15.75" customHeight="1">
      <c r="C387" s="5"/>
      <c r="D387" s="5"/>
      <c r="F387" s="5"/>
      <c r="H387" s="5"/>
      <c r="I387" s="5"/>
      <c r="M387" s="5"/>
      <c r="S387" s="5"/>
    </row>
    <row r="388" ht="15.75" customHeight="1">
      <c r="C388" s="5"/>
      <c r="D388" s="5"/>
      <c r="F388" s="5"/>
      <c r="H388" s="5"/>
      <c r="I388" s="5"/>
      <c r="M388" s="5"/>
      <c r="S388" s="5"/>
    </row>
    <row r="389" ht="15.75" customHeight="1">
      <c r="C389" s="5"/>
      <c r="D389" s="5"/>
      <c r="F389" s="5"/>
      <c r="H389" s="5"/>
      <c r="I389" s="5"/>
      <c r="M389" s="5"/>
      <c r="S389" s="5"/>
    </row>
    <row r="390" ht="15.75" customHeight="1">
      <c r="C390" s="5"/>
      <c r="D390" s="5"/>
      <c r="F390" s="5"/>
      <c r="H390" s="5"/>
      <c r="I390" s="5"/>
      <c r="M390" s="5"/>
      <c r="S390" s="5"/>
    </row>
    <row r="391" ht="15.75" customHeight="1">
      <c r="C391" s="5"/>
      <c r="D391" s="5"/>
      <c r="F391" s="5"/>
      <c r="H391" s="5"/>
      <c r="I391" s="5"/>
      <c r="M391" s="5"/>
      <c r="S391" s="5"/>
    </row>
    <row r="392" ht="15.75" customHeight="1">
      <c r="C392" s="5"/>
      <c r="D392" s="5"/>
      <c r="F392" s="5"/>
      <c r="H392" s="5"/>
      <c r="I392" s="5"/>
      <c r="M392" s="5"/>
      <c r="S392" s="5"/>
    </row>
    <row r="393" ht="15.75" customHeight="1">
      <c r="C393" s="5"/>
      <c r="D393" s="5"/>
      <c r="F393" s="5"/>
      <c r="H393" s="5"/>
      <c r="I393" s="5"/>
      <c r="M393" s="5"/>
      <c r="S393" s="5"/>
    </row>
    <row r="394" ht="15.75" customHeight="1">
      <c r="C394" s="5"/>
      <c r="D394" s="5"/>
      <c r="F394" s="5"/>
      <c r="H394" s="5"/>
      <c r="I394" s="5"/>
      <c r="M394" s="5"/>
      <c r="S394" s="5"/>
    </row>
    <row r="395" ht="15.75" customHeight="1">
      <c r="C395" s="5"/>
      <c r="D395" s="5"/>
      <c r="F395" s="5"/>
      <c r="H395" s="5"/>
      <c r="I395" s="5"/>
      <c r="M395" s="5"/>
      <c r="S395" s="5"/>
    </row>
    <row r="396" ht="15.75" customHeight="1">
      <c r="C396" s="5"/>
      <c r="D396" s="5"/>
      <c r="F396" s="5"/>
      <c r="H396" s="5"/>
      <c r="I396" s="5"/>
      <c r="M396" s="5"/>
      <c r="S396" s="5"/>
    </row>
    <row r="397" ht="15.75" customHeight="1">
      <c r="C397" s="5"/>
      <c r="D397" s="5"/>
      <c r="F397" s="5"/>
      <c r="H397" s="5"/>
      <c r="I397" s="5"/>
      <c r="M397" s="5"/>
      <c r="S397" s="5"/>
    </row>
    <row r="398" ht="15.75" customHeight="1">
      <c r="C398" s="5"/>
      <c r="D398" s="5"/>
      <c r="F398" s="5"/>
      <c r="H398" s="5"/>
      <c r="I398" s="5"/>
      <c r="M398" s="5"/>
      <c r="S398" s="5"/>
    </row>
    <row r="399" ht="15.75" customHeight="1">
      <c r="C399" s="5"/>
      <c r="D399" s="5"/>
      <c r="F399" s="5"/>
      <c r="H399" s="5"/>
      <c r="I399" s="5"/>
      <c r="M399" s="5"/>
      <c r="S399" s="5"/>
    </row>
    <row r="400" ht="15.75" customHeight="1">
      <c r="C400" s="5"/>
      <c r="D400" s="5"/>
      <c r="F400" s="5"/>
      <c r="H400" s="5"/>
      <c r="I400" s="5"/>
      <c r="M400" s="5"/>
      <c r="S400" s="5"/>
    </row>
    <row r="401" ht="15.75" customHeight="1">
      <c r="C401" s="5"/>
      <c r="D401" s="5"/>
      <c r="F401" s="5"/>
      <c r="H401" s="5"/>
      <c r="I401" s="5"/>
      <c r="M401" s="5"/>
      <c r="S401" s="5"/>
    </row>
    <row r="402" ht="15.75" customHeight="1">
      <c r="C402" s="5"/>
      <c r="D402" s="5"/>
      <c r="F402" s="5"/>
      <c r="H402" s="5"/>
      <c r="I402" s="5"/>
      <c r="M402" s="5"/>
      <c r="S402" s="5"/>
    </row>
    <row r="403" ht="15.75" customHeight="1">
      <c r="C403" s="5"/>
      <c r="D403" s="5"/>
      <c r="F403" s="5"/>
      <c r="H403" s="5"/>
      <c r="I403" s="5"/>
      <c r="M403" s="5"/>
      <c r="S403" s="5"/>
    </row>
    <row r="404" ht="15.75" customHeight="1">
      <c r="C404" s="5"/>
      <c r="D404" s="5"/>
      <c r="F404" s="5"/>
      <c r="H404" s="5"/>
      <c r="I404" s="5"/>
      <c r="M404" s="5"/>
      <c r="S404" s="5"/>
    </row>
    <row r="405" ht="15.75" customHeight="1">
      <c r="C405" s="5"/>
      <c r="D405" s="5"/>
      <c r="F405" s="5"/>
      <c r="H405" s="5"/>
      <c r="I405" s="5"/>
      <c r="M405" s="5"/>
      <c r="S405" s="5"/>
    </row>
    <row r="406" ht="15.75" customHeight="1">
      <c r="C406" s="5"/>
      <c r="D406" s="5"/>
      <c r="F406" s="5"/>
      <c r="H406" s="5"/>
      <c r="I406" s="5"/>
      <c r="M406" s="5"/>
      <c r="S406" s="5"/>
    </row>
    <row r="407" ht="15.75" customHeight="1">
      <c r="C407" s="5"/>
      <c r="D407" s="5"/>
      <c r="F407" s="5"/>
      <c r="H407" s="5"/>
      <c r="I407" s="5"/>
      <c r="M407" s="5"/>
      <c r="S407" s="5"/>
    </row>
    <row r="408" ht="15.75" customHeight="1">
      <c r="C408" s="5"/>
      <c r="D408" s="5"/>
      <c r="F408" s="5"/>
      <c r="H408" s="5"/>
      <c r="I408" s="5"/>
      <c r="M408" s="5"/>
      <c r="S408" s="5"/>
    </row>
    <row r="409" ht="15.75" customHeight="1">
      <c r="C409" s="5"/>
      <c r="D409" s="5"/>
      <c r="F409" s="5"/>
      <c r="H409" s="5"/>
      <c r="I409" s="5"/>
      <c r="M409" s="5"/>
      <c r="S409" s="5"/>
    </row>
    <row r="410" ht="15.75" customHeight="1">
      <c r="C410" s="5"/>
      <c r="D410" s="5"/>
      <c r="F410" s="5"/>
      <c r="H410" s="5"/>
      <c r="I410" s="5"/>
      <c r="M410" s="5"/>
      <c r="S410" s="5"/>
    </row>
    <row r="411" ht="15.75" customHeight="1">
      <c r="C411" s="5"/>
      <c r="D411" s="5"/>
      <c r="F411" s="5"/>
      <c r="H411" s="5"/>
      <c r="I411" s="5"/>
      <c r="M411" s="5"/>
      <c r="S411" s="5"/>
    </row>
    <row r="412" ht="15.75" customHeight="1">
      <c r="C412" s="5"/>
      <c r="D412" s="5"/>
      <c r="F412" s="5"/>
      <c r="H412" s="5"/>
      <c r="I412" s="5"/>
      <c r="M412" s="5"/>
      <c r="S412" s="5"/>
    </row>
    <row r="413" ht="15.75" customHeight="1">
      <c r="C413" s="5"/>
      <c r="D413" s="5"/>
      <c r="F413" s="5"/>
      <c r="H413" s="5"/>
      <c r="I413" s="5"/>
      <c r="M413" s="5"/>
      <c r="S413" s="5"/>
    </row>
    <row r="414" ht="15.75" customHeight="1">
      <c r="C414" s="5"/>
      <c r="D414" s="5"/>
      <c r="F414" s="5"/>
      <c r="H414" s="5"/>
      <c r="I414" s="5"/>
      <c r="M414" s="5"/>
      <c r="S414" s="5"/>
    </row>
    <row r="415" ht="15.75" customHeight="1">
      <c r="C415" s="5"/>
      <c r="D415" s="5"/>
      <c r="F415" s="5"/>
      <c r="H415" s="5"/>
      <c r="I415" s="5"/>
      <c r="M415" s="5"/>
      <c r="S415" s="5"/>
    </row>
    <row r="416" ht="15.75" customHeight="1">
      <c r="C416" s="5"/>
      <c r="D416" s="5"/>
      <c r="F416" s="5"/>
      <c r="H416" s="5"/>
      <c r="I416" s="5"/>
      <c r="M416" s="5"/>
      <c r="S416" s="5"/>
    </row>
    <row r="417" ht="15.75" customHeight="1">
      <c r="C417" s="5"/>
      <c r="D417" s="5"/>
      <c r="F417" s="5"/>
      <c r="H417" s="5"/>
      <c r="I417" s="5"/>
      <c r="M417" s="5"/>
      <c r="S417" s="5"/>
    </row>
    <row r="418" ht="15.75" customHeight="1">
      <c r="C418" s="5"/>
      <c r="D418" s="5"/>
      <c r="F418" s="5"/>
      <c r="H418" s="5"/>
      <c r="I418" s="5"/>
      <c r="M418" s="5"/>
      <c r="S418" s="5"/>
    </row>
    <row r="419" ht="15.75" customHeight="1">
      <c r="C419" s="5"/>
      <c r="D419" s="5"/>
      <c r="F419" s="5"/>
      <c r="H419" s="5"/>
      <c r="I419" s="5"/>
      <c r="M419" s="5"/>
      <c r="S419" s="5"/>
    </row>
    <row r="420" ht="15.75" customHeight="1">
      <c r="C420" s="5"/>
      <c r="D420" s="5"/>
      <c r="F420" s="5"/>
      <c r="H420" s="5"/>
      <c r="I420" s="5"/>
      <c r="M420" s="5"/>
      <c r="S420" s="5"/>
    </row>
    <row r="421" ht="15.75" customHeight="1">
      <c r="C421" s="5"/>
      <c r="D421" s="5"/>
      <c r="F421" s="5"/>
      <c r="H421" s="5"/>
      <c r="I421" s="5"/>
      <c r="M421" s="5"/>
      <c r="S421" s="5"/>
    </row>
    <row r="422" ht="15.75" customHeight="1">
      <c r="C422" s="5"/>
      <c r="D422" s="5"/>
      <c r="F422" s="5"/>
      <c r="H422" s="5"/>
      <c r="I422" s="5"/>
      <c r="M422" s="5"/>
      <c r="S422" s="5"/>
    </row>
    <row r="423" ht="15.75" customHeight="1">
      <c r="C423" s="5"/>
      <c r="D423" s="5"/>
      <c r="F423" s="5"/>
      <c r="H423" s="5"/>
      <c r="I423" s="5"/>
      <c r="M423" s="5"/>
      <c r="S423" s="5"/>
    </row>
    <row r="424" ht="15.75" customHeight="1">
      <c r="C424" s="5"/>
      <c r="D424" s="5"/>
      <c r="F424" s="5"/>
      <c r="H424" s="5"/>
      <c r="I424" s="5"/>
      <c r="M424" s="5"/>
      <c r="S424" s="5"/>
    </row>
    <row r="425" ht="15.75" customHeight="1">
      <c r="C425" s="5"/>
      <c r="D425" s="5"/>
      <c r="F425" s="5"/>
      <c r="H425" s="5"/>
      <c r="I425" s="5"/>
      <c r="M425" s="5"/>
      <c r="S425" s="5"/>
    </row>
    <row r="426" ht="15.75" customHeight="1">
      <c r="C426" s="5"/>
      <c r="D426" s="5"/>
      <c r="F426" s="5"/>
      <c r="H426" s="5"/>
      <c r="I426" s="5"/>
      <c r="M426" s="5"/>
      <c r="S426" s="5"/>
    </row>
    <row r="427" ht="15.75" customHeight="1">
      <c r="C427" s="5"/>
      <c r="D427" s="5"/>
      <c r="F427" s="5"/>
      <c r="H427" s="5"/>
      <c r="I427" s="5"/>
      <c r="M427" s="5"/>
      <c r="S427" s="5"/>
    </row>
    <row r="428" ht="15.75" customHeight="1">
      <c r="C428" s="5"/>
      <c r="D428" s="5"/>
      <c r="F428" s="5"/>
      <c r="H428" s="5"/>
      <c r="I428" s="5"/>
      <c r="M428" s="5"/>
      <c r="S428" s="5"/>
    </row>
    <row r="429" ht="15.75" customHeight="1">
      <c r="C429" s="5"/>
      <c r="D429" s="5"/>
      <c r="F429" s="5"/>
      <c r="H429" s="5"/>
      <c r="I429" s="5"/>
      <c r="M429" s="5"/>
      <c r="S429" s="5"/>
    </row>
    <row r="430" ht="15.75" customHeight="1">
      <c r="C430" s="5"/>
      <c r="D430" s="5"/>
      <c r="F430" s="5"/>
      <c r="H430" s="5"/>
      <c r="I430" s="5"/>
      <c r="M430" s="5"/>
      <c r="S430" s="5"/>
    </row>
    <row r="431" ht="15.75" customHeight="1">
      <c r="C431" s="5"/>
      <c r="D431" s="5"/>
      <c r="F431" s="5"/>
      <c r="H431" s="5"/>
      <c r="I431" s="5"/>
      <c r="M431" s="5"/>
      <c r="S431" s="5"/>
    </row>
    <row r="432" ht="15.75" customHeight="1">
      <c r="C432" s="5"/>
      <c r="D432" s="5"/>
      <c r="F432" s="5"/>
      <c r="H432" s="5"/>
      <c r="I432" s="5"/>
      <c r="M432" s="5"/>
      <c r="S432" s="5"/>
    </row>
    <row r="433" ht="15.75" customHeight="1">
      <c r="C433" s="5"/>
      <c r="D433" s="5"/>
      <c r="F433" s="5"/>
      <c r="H433" s="5"/>
      <c r="I433" s="5"/>
      <c r="M433" s="5"/>
      <c r="S433" s="5"/>
    </row>
    <row r="434" ht="15.75" customHeight="1">
      <c r="C434" s="5"/>
      <c r="D434" s="5"/>
      <c r="F434" s="5"/>
      <c r="H434" s="5"/>
      <c r="I434" s="5"/>
      <c r="M434" s="5"/>
      <c r="S434" s="5"/>
    </row>
    <row r="435" ht="15.75" customHeight="1">
      <c r="C435" s="5"/>
      <c r="D435" s="5"/>
      <c r="F435" s="5"/>
      <c r="H435" s="5"/>
      <c r="I435" s="5"/>
      <c r="M435" s="5"/>
      <c r="S435" s="5"/>
    </row>
    <row r="436" ht="15.75" customHeight="1">
      <c r="C436" s="5"/>
      <c r="D436" s="5"/>
      <c r="F436" s="5"/>
      <c r="H436" s="5"/>
      <c r="I436" s="5"/>
      <c r="M436" s="5"/>
      <c r="S436" s="5"/>
    </row>
    <row r="437" ht="15.75" customHeight="1">
      <c r="C437" s="5"/>
      <c r="D437" s="5"/>
      <c r="F437" s="5"/>
      <c r="H437" s="5"/>
      <c r="I437" s="5"/>
      <c r="M437" s="5"/>
      <c r="S437" s="5"/>
    </row>
    <row r="438" ht="15.75" customHeight="1">
      <c r="C438" s="5"/>
      <c r="D438" s="5"/>
      <c r="F438" s="5"/>
      <c r="H438" s="5"/>
      <c r="I438" s="5"/>
      <c r="M438" s="5"/>
      <c r="S438" s="5"/>
    </row>
    <row r="439" ht="15.75" customHeight="1">
      <c r="C439" s="5"/>
      <c r="D439" s="5"/>
      <c r="F439" s="5"/>
      <c r="H439" s="5"/>
      <c r="I439" s="5"/>
      <c r="M439" s="5"/>
      <c r="S439" s="5"/>
    </row>
    <row r="440" ht="15.75" customHeight="1">
      <c r="C440" s="5"/>
      <c r="D440" s="5"/>
      <c r="F440" s="5"/>
      <c r="H440" s="5"/>
      <c r="I440" s="5"/>
      <c r="M440" s="5"/>
      <c r="S440" s="5"/>
    </row>
    <row r="441" ht="15.75" customHeight="1">
      <c r="C441" s="5"/>
      <c r="D441" s="5"/>
      <c r="F441" s="5"/>
      <c r="H441" s="5"/>
      <c r="I441" s="5"/>
      <c r="M441" s="5"/>
      <c r="S441" s="5"/>
    </row>
    <row r="442" ht="15.75" customHeight="1">
      <c r="C442" s="5"/>
      <c r="D442" s="5"/>
      <c r="F442" s="5"/>
      <c r="H442" s="5"/>
      <c r="I442" s="5"/>
      <c r="M442" s="5"/>
      <c r="S442" s="5"/>
    </row>
    <row r="443" ht="15.75" customHeight="1">
      <c r="C443" s="5"/>
      <c r="D443" s="5"/>
      <c r="F443" s="5"/>
      <c r="H443" s="5"/>
      <c r="I443" s="5"/>
      <c r="M443" s="5"/>
      <c r="S443" s="5"/>
    </row>
    <row r="444" ht="15.75" customHeight="1">
      <c r="C444" s="5"/>
      <c r="D444" s="5"/>
      <c r="F444" s="5"/>
      <c r="H444" s="5"/>
      <c r="I444" s="5"/>
      <c r="M444" s="5"/>
      <c r="S444" s="5"/>
    </row>
    <row r="445" ht="15.75" customHeight="1">
      <c r="C445" s="5"/>
      <c r="D445" s="5"/>
      <c r="F445" s="5"/>
      <c r="H445" s="5"/>
      <c r="I445" s="5"/>
      <c r="M445" s="5"/>
      <c r="S445" s="5"/>
    </row>
    <row r="446" ht="15.75" customHeight="1">
      <c r="C446" s="5"/>
      <c r="D446" s="5"/>
      <c r="F446" s="5"/>
      <c r="H446" s="5"/>
      <c r="I446" s="5"/>
      <c r="M446" s="5"/>
      <c r="S446" s="5"/>
    </row>
    <row r="447" ht="15.75" customHeight="1">
      <c r="C447" s="5"/>
      <c r="D447" s="5"/>
      <c r="F447" s="5"/>
      <c r="H447" s="5"/>
      <c r="I447" s="5"/>
      <c r="M447" s="5"/>
      <c r="S447" s="5"/>
    </row>
    <row r="448" ht="15.75" customHeight="1">
      <c r="C448" s="5"/>
      <c r="D448" s="5"/>
      <c r="F448" s="5"/>
      <c r="H448" s="5"/>
      <c r="I448" s="5"/>
      <c r="M448" s="5"/>
      <c r="S448" s="5"/>
    </row>
    <row r="449" ht="15.75" customHeight="1">
      <c r="C449" s="5"/>
      <c r="D449" s="5"/>
      <c r="F449" s="5"/>
      <c r="H449" s="5"/>
      <c r="I449" s="5"/>
      <c r="M449" s="5"/>
      <c r="S449" s="5"/>
    </row>
    <row r="450" ht="15.75" customHeight="1">
      <c r="C450" s="5"/>
      <c r="D450" s="5"/>
      <c r="F450" s="5"/>
      <c r="H450" s="5"/>
      <c r="I450" s="5"/>
      <c r="M450" s="5"/>
      <c r="S450" s="5"/>
    </row>
    <row r="451" ht="15.75" customHeight="1">
      <c r="C451" s="5"/>
      <c r="D451" s="5"/>
      <c r="F451" s="5"/>
      <c r="H451" s="5"/>
      <c r="I451" s="5"/>
      <c r="M451" s="5"/>
      <c r="S451" s="5"/>
    </row>
    <row r="452" ht="15.75" customHeight="1">
      <c r="C452" s="5"/>
      <c r="D452" s="5"/>
      <c r="F452" s="5"/>
      <c r="H452" s="5"/>
      <c r="I452" s="5"/>
      <c r="M452" s="5"/>
      <c r="S452" s="5"/>
    </row>
    <row r="453" ht="15.75" customHeight="1">
      <c r="C453" s="5"/>
      <c r="D453" s="5"/>
      <c r="F453" s="5"/>
      <c r="H453" s="5"/>
      <c r="I453" s="5"/>
      <c r="M453" s="5"/>
      <c r="S453" s="5"/>
    </row>
    <row r="454" ht="15.75" customHeight="1">
      <c r="C454" s="5"/>
      <c r="D454" s="5"/>
      <c r="F454" s="5"/>
      <c r="H454" s="5"/>
      <c r="I454" s="5"/>
      <c r="M454" s="5"/>
      <c r="S454" s="5"/>
    </row>
    <row r="455" ht="15.75" customHeight="1">
      <c r="C455" s="5"/>
      <c r="D455" s="5"/>
      <c r="F455" s="5"/>
      <c r="H455" s="5"/>
      <c r="I455" s="5"/>
      <c r="M455" s="5"/>
      <c r="S455" s="5"/>
    </row>
    <row r="456" ht="15.75" customHeight="1">
      <c r="C456" s="5"/>
      <c r="D456" s="5"/>
      <c r="F456" s="5"/>
      <c r="H456" s="5"/>
      <c r="I456" s="5"/>
      <c r="M456" s="5"/>
      <c r="S456" s="5"/>
    </row>
    <row r="457" ht="15.75" customHeight="1">
      <c r="C457" s="5"/>
      <c r="D457" s="5"/>
      <c r="F457" s="5"/>
      <c r="H457" s="5"/>
      <c r="I457" s="5"/>
      <c r="M457" s="5"/>
      <c r="S457" s="5"/>
    </row>
    <row r="458" ht="15.75" customHeight="1">
      <c r="C458" s="5"/>
      <c r="D458" s="5"/>
      <c r="F458" s="5"/>
      <c r="H458" s="5"/>
      <c r="I458" s="5"/>
      <c r="M458" s="5"/>
      <c r="S458" s="5"/>
    </row>
    <row r="459" ht="15.75" customHeight="1">
      <c r="C459" s="5"/>
      <c r="D459" s="5"/>
      <c r="F459" s="5"/>
      <c r="H459" s="5"/>
      <c r="I459" s="5"/>
      <c r="M459" s="5"/>
      <c r="S459" s="5"/>
    </row>
    <row r="460" ht="15.75" customHeight="1">
      <c r="C460" s="5"/>
      <c r="D460" s="5"/>
      <c r="F460" s="5"/>
      <c r="H460" s="5"/>
      <c r="I460" s="5"/>
      <c r="M460" s="5"/>
      <c r="S460" s="5"/>
    </row>
    <row r="461" ht="15.75" customHeight="1">
      <c r="C461" s="5"/>
      <c r="D461" s="5"/>
      <c r="F461" s="5"/>
      <c r="H461" s="5"/>
      <c r="I461" s="5"/>
      <c r="M461" s="5"/>
      <c r="S461" s="5"/>
    </row>
    <row r="462" ht="15.75" customHeight="1">
      <c r="C462" s="5"/>
      <c r="D462" s="5"/>
      <c r="F462" s="5"/>
      <c r="H462" s="5"/>
      <c r="I462" s="5"/>
      <c r="M462" s="5"/>
      <c r="S462" s="5"/>
    </row>
    <row r="463" ht="15.75" customHeight="1">
      <c r="C463" s="5"/>
      <c r="D463" s="5"/>
      <c r="F463" s="5"/>
      <c r="H463" s="5"/>
      <c r="I463" s="5"/>
      <c r="M463" s="5"/>
      <c r="S463" s="5"/>
    </row>
    <row r="464" ht="15.75" customHeight="1">
      <c r="C464" s="5"/>
      <c r="D464" s="5"/>
      <c r="F464" s="5"/>
      <c r="H464" s="5"/>
      <c r="I464" s="5"/>
      <c r="M464" s="5"/>
      <c r="S464" s="5"/>
    </row>
    <row r="465" ht="15.75" customHeight="1">
      <c r="C465" s="5"/>
      <c r="D465" s="5"/>
      <c r="F465" s="5"/>
      <c r="H465" s="5"/>
      <c r="I465" s="5"/>
      <c r="M465" s="5"/>
      <c r="S465" s="5"/>
    </row>
    <row r="466" ht="15.75" customHeight="1">
      <c r="C466" s="5"/>
      <c r="D466" s="5"/>
      <c r="F466" s="5"/>
      <c r="H466" s="5"/>
      <c r="I466" s="5"/>
      <c r="M466" s="5"/>
      <c r="S466" s="5"/>
    </row>
    <row r="467" ht="15.75" customHeight="1">
      <c r="C467" s="5"/>
      <c r="D467" s="5"/>
      <c r="F467" s="5"/>
      <c r="H467" s="5"/>
      <c r="I467" s="5"/>
      <c r="M467" s="5"/>
      <c r="S467" s="5"/>
    </row>
    <row r="468" ht="15.75" customHeight="1">
      <c r="C468" s="5"/>
      <c r="D468" s="5"/>
      <c r="F468" s="5"/>
      <c r="H468" s="5"/>
      <c r="I468" s="5"/>
      <c r="M468" s="5"/>
      <c r="S468" s="5"/>
    </row>
    <row r="469" ht="15.75" customHeight="1">
      <c r="C469" s="5"/>
      <c r="D469" s="5"/>
      <c r="F469" s="5"/>
      <c r="H469" s="5"/>
      <c r="I469" s="5"/>
      <c r="M469" s="5"/>
      <c r="S469" s="5"/>
    </row>
    <row r="470" ht="15.75" customHeight="1">
      <c r="C470" s="5"/>
      <c r="D470" s="5"/>
      <c r="F470" s="5"/>
      <c r="H470" s="5"/>
      <c r="I470" s="5"/>
      <c r="M470" s="5"/>
      <c r="S470" s="5"/>
    </row>
    <row r="471" ht="15.75" customHeight="1">
      <c r="C471" s="5"/>
      <c r="D471" s="5"/>
      <c r="F471" s="5"/>
      <c r="H471" s="5"/>
      <c r="I471" s="5"/>
      <c r="M471" s="5"/>
      <c r="S471" s="5"/>
    </row>
    <row r="472" ht="15.75" customHeight="1">
      <c r="C472" s="5"/>
      <c r="D472" s="5"/>
      <c r="F472" s="5"/>
      <c r="H472" s="5"/>
      <c r="I472" s="5"/>
      <c r="M472" s="5"/>
      <c r="S472" s="5"/>
    </row>
    <row r="473" ht="15.75" customHeight="1">
      <c r="C473" s="5"/>
      <c r="D473" s="5"/>
      <c r="F473" s="5"/>
      <c r="H473" s="5"/>
      <c r="I473" s="5"/>
      <c r="M473" s="5"/>
      <c r="S473" s="5"/>
    </row>
    <row r="474" ht="15.75" customHeight="1">
      <c r="C474" s="5"/>
      <c r="D474" s="5"/>
      <c r="F474" s="5"/>
      <c r="H474" s="5"/>
      <c r="I474" s="5"/>
      <c r="M474" s="5"/>
      <c r="S474" s="5"/>
    </row>
    <row r="475" ht="15.75" customHeight="1">
      <c r="C475" s="5"/>
      <c r="D475" s="5"/>
      <c r="F475" s="5"/>
      <c r="H475" s="5"/>
      <c r="I475" s="5"/>
      <c r="M475" s="5"/>
      <c r="S475" s="5"/>
    </row>
    <row r="476" ht="15.75" customHeight="1">
      <c r="C476" s="5"/>
      <c r="D476" s="5"/>
      <c r="F476" s="5"/>
      <c r="H476" s="5"/>
      <c r="I476" s="5"/>
      <c r="M476" s="5"/>
      <c r="S476" s="5"/>
    </row>
    <row r="477" ht="15.75" customHeight="1">
      <c r="C477" s="5"/>
      <c r="D477" s="5"/>
      <c r="F477" s="5"/>
      <c r="H477" s="5"/>
      <c r="I477" s="5"/>
      <c r="M477" s="5"/>
      <c r="S477" s="5"/>
    </row>
    <row r="478" ht="15.75" customHeight="1">
      <c r="C478" s="5"/>
      <c r="D478" s="5"/>
      <c r="F478" s="5"/>
      <c r="H478" s="5"/>
      <c r="I478" s="5"/>
      <c r="M478" s="5"/>
      <c r="S478" s="5"/>
    </row>
    <row r="479" ht="15.75" customHeight="1">
      <c r="C479" s="5"/>
      <c r="D479" s="5"/>
      <c r="F479" s="5"/>
      <c r="H479" s="5"/>
      <c r="I479" s="5"/>
      <c r="M479" s="5"/>
      <c r="S479" s="5"/>
    </row>
    <row r="480" ht="15.75" customHeight="1">
      <c r="C480" s="5"/>
      <c r="D480" s="5"/>
      <c r="F480" s="5"/>
      <c r="H480" s="5"/>
      <c r="I480" s="5"/>
      <c r="M480" s="5"/>
      <c r="S480" s="5"/>
    </row>
    <row r="481" ht="15.75" customHeight="1">
      <c r="C481" s="5"/>
      <c r="D481" s="5"/>
      <c r="F481" s="5"/>
      <c r="H481" s="5"/>
      <c r="I481" s="5"/>
      <c r="M481" s="5"/>
      <c r="S481" s="5"/>
    </row>
    <row r="482" ht="15.75" customHeight="1">
      <c r="C482" s="5"/>
      <c r="D482" s="5"/>
      <c r="F482" s="5"/>
      <c r="H482" s="5"/>
      <c r="I482" s="5"/>
      <c r="M482" s="5"/>
      <c r="S482" s="5"/>
    </row>
    <row r="483" ht="15.75" customHeight="1">
      <c r="C483" s="5"/>
      <c r="D483" s="5"/>
      <c r="F483" s="5"/>
      <c r="H483" s="5"/>
      <c r="I483" s="5"/>
      <c r="M483" s="5"/>
      <c r="S483" s="5"/>
    </row>
    <row r="484" ht="15.75" customHeight="1">
      <c r="C484" s="5"/>
      <c r="D484" s="5"/>
      <c r="F484" s="5"/>
      <c r="H484" s="5"/>
      <c r="I484" s="5"/>
      <c r="M484" s="5"/>
      <c r="S484" s="5"/>
    </row>
    <row r="485" ht="15.75" customHeight="1">
      <c r="C485" s="5"/>
      <c r="D485" s="5"/>
      <c r="F485" s="5"/>
      <c r="H485" s="5"/>
      <c r="I485" s="5"/>
      <c r="M485" s="5"/>
      <c r="S485" s="5"/>
    </row>
    <row r="486" ht="15.75" customHeight="1">
      <c r="C486" s="5"/>
      <c r="D486" s="5"/>
      <c r="F486" s="5"/>
      <c r="H486" s="5"/>
      <c r="I486" s="5"/>
      <c r="M486" s="5"/>
      <c r="S486" s="5"/>
    </row>
    <row r="487" ht="15.75" customHeight="1">
      <c r="C487" s="5"/>
      <c r="D487" s="5"/>
      <c r="F487" s="5"/>
      <c r="H487" s="5"/>
      <c r="I487" s="5"/>
      <c r="M487" s="5"/>
      <c r="S487" s="5"/>
    </row>
    <row r="488" ht="15.75" customHeight="1">
      <c r="C488" s="5"/>
      <c r="D488" s="5"/>
      <c r="F488" s="5"/>
      <c r="H488" s="5"/>
      <c r="I488" s="5"/>
      <c r="M488" s="5"/>
      <c r="S488" s="5"/>
    </row>
    <row r="489" ht="15.75" customHeight="1">
      <c r="C489" s="5"/>
      <c r="D489" s="5"/>
      <c r="F489" s="5"/>
      <c r="H489" s="5"/>
      <c r="I489" s="5"/>
      <c r="M489" s="5"/>
      <c r="S489" s="5"/>
    </row>
    <row r="490" ht="15.75" customHeight="1">
      <c r="C490" s="5"/>
      <c r="D490" s="5"/>
      <c r="F490" s="5"/>
      <c r="H490" s="5"/>
      <c r="I490" s="5"/>
      <c r="M490" s="5"/>
      <c r="S490" s="5"/>
    </row>
    <row r="491" ht="15.75" customHeight="1">
      <c r="C491" s="5"/>
      <c r="D491" s="5"/>
      <c r="F491" s="5"/>
      <c r="H491" s="5"/>
      <c r="I491" s="5"/>
      <c r="M491" s="5"/>
      <c r="S491" s="5"/>
    </row>
    <row r="492" ht="15.75" customHeight="1">
      <c r="C492" s="5"/>
      <c r="D492" s="5"/>
      <c r="F492" s="5"/>
      <c r="H492" s="5"/>
      <c r="I492" s="5"/>
      <c r="M492" s="5"/>
      <c r="S492" s="5"/>
    </row>
    <row r="493" ht="15.75" customHeight="1">
      <c r="C493" s="5"/>
      <c r="D493" s="5"/>
      <c r="F493" s="5"/>
      <c r="H493" s="5"/>
      <c r="I493" s="5"/>
      <c r="M493" s="5"/>
      <c r="S493" s="5"/>
    </row>
    <row r="494" ht="15.75" customHeight="1">
      <c r="C494" s="5"/>
      <c r="D494" s="5"/>
      <c r="F494" s="5"/>
      <c r="H494" s="5"/>
      <c r="I494" s="5"/>
      <c r="M494" s="5"/>
      <c r="S494" s="5"/>
    </row>
    <row r="495" ht="15.75" customHeight="1">
      <c r="C495" s="5"/>
      <c r="D495" s="5"/>
      <c r="F495" s="5"/>
      <c r="H495" s="5"/>
      <c r="I495" s="5"/>
      <c r="M495" s="5"/>
      <c r="S495" s="5"/>
    </row>
    <row r="496" ht="15.75" customHeight="1">
      <c r="C496" s="5"/>
      <c r="D496" s="5"/>
      <c r="F496" s="5"/>
      <c r="H496" s="5"/>
      <c r="I496" s="5"/>
      <c r="M496" s="5"/>
      <c r="S496" s="5"/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decimal" allowBlank="1" sqref="M2:M496">
      <formula1>0.0</formula1>
      <formula2>100.0</formula2>
    </dataValidation>
    <dataValidation type="list" allowBlank="1" sqref="I2:I496">
      <formula1>PO_PI_Master!$B$2:$B$31</formula1>
    </dataValidation>
    <dataValidation type="list" allowBlank="1" sqref="F2:F496">
      <formula1>"CLO1,CLO2,CLO3,CLO4,CLO5"</formula1>
    </dataValidation>
    <dataValidation type="list" allowBlank="1" sqref="H2:H496">
      <formula1>PO_PI_Master!$A$2:$A$31</formula1>
    </dataValidation>
    <dataValidation type="list" allowBlank="1" sqref="C2:C496">
      <formula1>Settings!$B$3</formula1>
    </dataValidation>
    <dataValidation type="list" allowBlank="1" sqref="S2:S496">
      <formula1>"Complete,Missing Evidence,Need Review"</formula1>
    </dataValidation>
    <dataValidation type="list" allowBlank="1" sqref="D2:D496">
      <formula1>"1,2,summer"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5.0"/>
    <col customWidth="1" min="3" max="3" width="55.0"/>
    <col customWidth="1" min="4" max="26" width="8.63"/>
  </cols>
  <sheetData>
    <row r="1" ht="27.75" customHeight="1">
      <c r="A1" s="19" t="s">
        <v>139</v>
      </c>
      <c r="B1" s="19" t="s">
        <v>140</v>
      </c>
      <c r="C1" s="19" t="s">
        <v>122</v>
      </c>
    </row>
    <row r="2">
      <c r="A2" s="12" t="s">
        <v>162</v>
      </c>
      <c r="B2" s="12" t="s">
        <v>163</v>
      </c>
      <c r="C2" s="12" t="s">
        <v>168</v>
      </c>
    </row>
    <row r="3">
      <c r="A3" s="12" t="s">
        <v>162</v>
      </c>
      <c r="B3" s="12" t="s">
        <v>169</v>
      </c>
      <c r="C3" s="12" t="s">
        <v>170</v>
      </c>
    </row>
    <row r="4">
      <c r="A4" s="12" t="s">
        <v>162</v>
      </c>
      <c r="B4" s="12" t="s">
        <v>171</v>
      </c>
      <c r="C4" s="12" t="s">
        <v>172</v>
      </c>
    </row>
    <row r="5">
      <c r="A5" s="12" t="s">
        <v>162</v>
      </c>
      <c r="B5" s="12" t="s">
        <v>173</v>
      </c>
      <c r="C5" s="12" t="s">
        <v>174</v>
      </c>
    </row>
    <row r="6">
      <c r="A6" s="12" t="s">
        <v>175</v>
      </c>
      <c r="B6" s="12" t="s">
        <v>176</v>
      </c>
      <c r="C6" s="12" t="s">
        <v>177</v>
      </c>
    </row>
    <row r="7">
      <c r="A7" s="12" t="s">
        <v>175</v>
      </c>
      <c r="B7" s="12" t="s">
        <v>178</v>
      </c>
      <c r="C7" s="12" t="s">
        <v>179</v>
      </c>
    </row>
    <row r="8">
      <c r="A8" s="12" t="s">
        <v>175</v>
      </c>
      <c r="B8" s="12" t="s">
        <v>180</v>
      </c>
      <c r="C8" s="12" t="s">
        <v>181</v>
      </c>
    </row>
    <row r="9">
      <c r="A9" s="12" t="s">
        <v>175</v>
      </c>
      <c r="B9" s="12" t="s">
        <v>182</v>
      </c>
      <c r="C9" s="12" t="s">
        <v>183</v>
      </c>
    </row>
    <row r="10">
      <c r="A10" s="12" t="s">
        <v>184</v>
      </c>
      <c r="B10" s="12" t="s">
        <v>185</v>
      </c>
      <c r="C10" s="12" t="s">
        <v>186</v>
      </c>
    </row>
    <row r="11">
      <c r="A11" s="12" t="s">
        <v>184</v>
      </c>
      <c r="B11" s="12" t="s">
        <v>187</v>
      </c>
      <c r="C11" s="12" t="s">
        <v>188</v>
      </c>
    </row>
    <row r="12">
      <c r="A12" s="12" t="s">
        <v>184</v>
      </c>
      <c r="B12" s="12" t="s">
        <v>189</v>
      </c>
      <c r="C12" s="12" t="s">
        <v>190</v>
      </c>
    </row>
    <row r="13">
      <c r="A13" s="12" t="s">
        <v>191</v>
      </c>
      <c r="B13" s="12" t="s">
        <v>192</v>
      </c>
      <c r="C13" s="12" t="s">
        <v>193</v>
      </c>
    </row>
    <row r="14">
      <c r="A14" s="12" t="s">
        <v>191</v>
      </c>
      <c r="B14" s="12" t="s">
        <v>194</v>
      </c>
      <c r="C14" s="12" t="s">
        <v>195</v>
      </c>
    </row>
    <row r="15">
      <c r="A15" s="12" t="s">
        <v>191</v>
      </c>
      <c r="B15" s="12" t="s">
        <v>196</v>
      </c>
      <c r="C15" s="12" t="s">
        <v>197</v>
      </c>
    </row>
    <row r="16">
      <c r="A16" s="12" t="s">
        <v>198</v>
      </c>
      <c r="B16" s="12" t="s">
        <v>199</v>
      </c>
      <c r="C16" s="12" t="s">
        <v>200</v>
      </c>
    </row>
    <row r="17">
      <c r="A17" s="12" t="s">
        <v>198</v>
      </c>
      <c r="B17" s="12" t="s">
        <v>201</v>
      </c>
      <c r="C17" s="12" t="s">
        <v>202</v>
      </c>
    </row>
    <row r="18">
      <c r="A18" s="12" t="s">
        <v>198</v>
      </c>
      <c r="B18" s="12" t="s">
        <v>203</v>
      </c>
      <c r="C18" s="12" t="s">
        <v>204</v>
      </c>
    </row>
    <row r="19">
      <c r="A19" s="12" t="s">
        <v>205</v>
      </c>
      <c r="B19" s="12" t="s">
        <v>206</v>
      </c>
      <c r="C19" s="12" t="s">
        <v>207</v>
      </c>
    </row>
    <row r="20">
      <c r="A20" s="12" t="s">
        <v>205</v>
      </c>
      <c r="B20" s="12" t="s">
        <v>208</v>
      </c>
      <c r="C20" s="12" t="s">
        <v>209</v>
      </c>
    </row>
    <row r="21" ht="15.75" customHeight="1">
      <c r="A21" s="12" t="s">
        <v>205</v>
      </c>
      <c r="B21" s="12" t="s">
        <v>210</v>
      </c>
      <c r="C21" s="12" t="s">
        <v>211</v>
      </c>
    </row>
    <row r="22" ht="15.75" customHeight="1">
      <c r="A22" s="12" t="s">
        <v>156</v>
      </c>
      <c r="B22" s="12" t="s">
        <v>157</v>
      </c>
      <c r="C22" s="12" t="s">
        <v>212</v>
      </c>
    </row>
    <row r="23" ht="15.75" customHeight="1">
      <c r="A23" s="12" t="s">
        <v>156</v>
      </c>
      <c r="B23" s="12" t="s">
        <v>213</v>
      </c>
      <c r="C23" s="12" t="s">
        <v>214</v>
      </c>
    </row>
    <row r="24" ht="15.75" customHeight="1">
      <c r="A24" s="12" t="s">
        <v>215</v>
      </c>
      <c r="B24" s="12" t="s">
        <v>216</v>
      </c>
      <c r="C24" s="12" t="s">
        <v>217</v>
      </c>
    </row>
    <row r="25" ht="15.75" customHeight="1">
      <c r="A25" s="12" t="s">
        <v>215</v>
      </c>
      <c r="B25" s="12" t="s">
        <v>218</v>
      </c>
      <c r="C25" s="12" t="s">
        <v>219</v>
      </c>
    </row>
    <row r="26" ht="15.75" customHeight="1">
      <c r="A26" s="12" t="s">
        <v>220</v>
      </c>
      <c r="B26" s="12" t="s">
        <v>221</v>
      </c>
      <c r="C26" s="12" t="s">
        <v>222</v>
      </c>
    </row>
    <row r="27" ht="15.75" customHeight="1">
      <c r="A27" s="12" t="s">
        <v>220</v>
      </c>
      <c r="B27" s="12" t="s">
        <v>223</v>
      </c>
      <c r="C27" s="12" t="s">
        <v>224</v>
      </c>
    </row>
    <row r="28" ht="15.75" customHeight="1">
      <c r="A28" s="12" t="s">
        <v>225</v>
      </c>
      <c r="B28" s="12" t="s">
        <v>226</v>
      </c>
      <c r="C28" s="12" t="s">
        <v>227</v>
      </c>
    </row>
    <row r="29" ht="15.75" customHeight="1">
      <c r="A29" s="12" t="s">
        <v>225</v>
      </c>
      <c r="B29" s="12" t="s">
        <v>228</v>
      </c>
      <c r="C29" s="12" t="s">
        <v>229</v>
      </c>
    </row>
    <row r="30" ht="15.75" customHeight="1">
      <c r="A30" s="12" t="s">
        <v>230</v>
      </c>
      <c r="B30" s="12" t="s">
        <v>231</v>
      </c>
      <c r="C30" s="12" t="s">
        <v>232</v>
      </c>
    </row>
    <row r="31" ht="15.75" customHeight="1">
      <c r="A31" s="12" t="s">
        <v>230</v>
      </c>
      <c r="B31" s="12" t="s">
        <v>233</v>
      </c>
      <c r="C31" s="12" t="s">
        <v>234</v>
      </c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6.13"/>
    <col customWidth="1" min="3" max="3" width="19.38"/>
    <col customWidth="1" min="4" max="4" width="39.75"/>
    <col customWidth="1" min="5" max="26" width="8.63"/>
  </cols>
  <sheetData>
    <row r="1" ht="27.75" customHeight="1">
      <c r="A1" s="19" t="s">
        <v>235</v>
      </c>
      <c r="B1" s="19" t="s">
        <v>236</v>
      </c>
      <c r="C1" s="19" t="s">
        <v>237</v>
      </c>
      <c r="D1" s="19" t="s">
        <v>238</v>
      </c>
    </row>
    <row r="2">
      <c r="A2" s="12"/>
      <c r="B2" s="12"/>
      <c r="C2" s="12"/>
      <c r="D2" s="12"/>
    </row>
    <row r="3">
      <c r="A3" s="12"/>
      <c r="B3" s="12"/>
      <c r="C3" s="12"/>
      <c r="D3" s="12"/>
    </row>
    <row r="4">
      <c r="A4" s="12"/>
      <c r="B4" s="12"/>
      <c r="C4" s="12"/>
      <c r="D4" s="12"/>
    </row>
    <row r="5">
      <c r="A5" s="12"/>
      <c r="B5" s="12"/>
      <c r="C5" s="12"/>
      <c r="D5" s="12"/>
    </row>
    <row r="6">
      <c r="A6" s="12"/>
      <c r="B6" s="12"/>
      <c r="C6" s="12"/>
      <c r="D6" s="12"/>
    </row>
    <row r="7">
      <c r="A7" s="12"/>
      <c r="B7" s="12"/>
      <c r="C7" s="12"/>
      <c r="D7" s="12"/>
    </row>
    <row r="8">
      <c r="A8" s="12"/>
      <c r="B8" s="12"/>
      <c r="C8" s="12"/>
      <c r="D8" s="12"/>
    </row>
    <row r="9">
      <c r="A9" s="12"/>
      <c r="B9" s="12"/>
      <c r="C9" s="12"/>
      <c r="D9" s="12"/>
    </row>
    <row r="10">
      <c r="A10" s="12"/>
      <c r="B10" s="12"/>
      <c r="C10" s="12"/>
      <c r="D10" s="12"/>
    </row>
    <row r="11">
      <c r="A11" s="12"/>
      <c r="B11" s="12"/>
      <c r="C11" s="12"/>
      <c r="D11" s="12"/>
    </row>
    <row r="12">
      <c r="A12" s="12"/>
      <c r="B12" s="12"/>
      <c r="C12" s="12"/>
      <c r="D12" s="12"/>
    </row>
    <row r="13">
      <c r="A13" s="12"/>
      <c r="B13" s="12"/>
      <c r="C13" s="12"/>
      <c r="D13" s="12"/>
    </row>
    <row r="14">
      <c r="A14" s="12"/>
      <c r="B14" s="12"/>
      <c r="C14" s="12"/>
      <c r="D14" s="12"/>
    </row>
    <row r="15">
      <c r="A15" s="12"/>
      <c r="B15" s="12"/>
      <c r="C15" s="12"/>
      <c r="D15" s="12"/>
    </row>
    <row r="16">
      <c r="A16" s="12"/>
      <c r="B16" s="12"/>
      <c r="C16" s="12"/>
      <c r="D16" s="12"/>
    </row>
    <row r="17">
      <c r="A17" s="12"/>
      <c r="B17" s="12"/>
      <c r="C17" s="12"/>
      <c r="D17" s="12"/>
    </row>
    <row r="18">
      <c r="A18" s="12"/>
      <c r="B18" s="12"/>
      <c r="C18" s="12"/>
      <c r="D18" s="12"/>
    </row>
    <row r="19">
      <c r="A19" s="12"/>
      <c r="B19" s="12"/>
      <c r="C19" s="12"/>
      <c r="D19" s="12"/>
    </row>
    <row r="20">
      <c r="A20" s="12"/>
      <c r="B20" s="12"/>
      <c r="C20" s="12"/>
      <c r="D20" s="12"/>
    </row>
    <row r="21" ht="15.75" customHeight="1">
      <c r="A21" s="12"/>
      <c r="B21" s="12"/>
      <c r="C21" s="12"/>
      <c r="D21" s="12"/>
    </row>
    <row r="22" ht="15.75" customHeight="1">
      <c r="A22" s="12"/>
      <c r="B22" s="12"/>
      <c r="C22" s="12"/>
      <c r="D22" s="12"/>
    </row>
    <row r="23" ht="15.75" customHeight="1">
      <c r="A23" s="12"/>
      <c r="B23" s="12"/>
      <c r="C23" s="12"/>
      <c r="D23" s="12"/>
    </row>
    <row r="24" ht="15.75" customHeight="1">
      <c r="A24" s="12"/>
      <c r="B24" s="12"/>
      <c r="C24" s="12"/>
      <c r="D24" s="12"/>
    </row>
    <row r="25" ht="15.75" customHeight="1">
      <c r="A25" s="12"/>
      <c r="B25" s="12"/>
      <c r="C25" s="12"/>
      <c r="D25" s="12"/>
    </row>
    <row r="26" ht="15.75" customHeight="1">
      <c r="A26" s="12"/>
      <c r="B26" s="12"/>
      <c r="C26" s="12"/>
      <c r="D26" s="12"/>
    </row>
    <row r="27" ht="15.75" customHeight="1">
      <c r="A27" s="12"/>
      <c r="B27" s="12"/>
      <c r="C27" s="12"/>
      <c r="D27" s="12"/>
    </row>
    <row r="28" ht="15.75" customHeight="1">
      <c r="A28" s="12"/>
      <c r="B28" s="12"/>
      <c r="C28" s="12"/>
      <c r="D28" s="12"/>
    </row>
    <row r="29" ht="15.75" customHeight="1">
      <c r="A29" s="12"/>
      <c r="B29" s="12"/>
      <c r="C29" s="12"/>
      <c r="D29" s="12"/>
    </row>
    <row r="30" ht="15.75" customHeight="1">
      <c r="A30" s="12"/>
      <c r="B30" s="12"/>
      <c r="C30" s="12"/>
      <c r="D30" s="12"/>
    </row>
    <row r="31" ht="15.75" customHeight="1">
      <c r="A31" s="12"/>
      <c r="B31" s="12"/>
      <c r="C31" s="12"/>
      <c r="D31" s="12"/>
    </row>
    <row r="32" ht="15.75" customHeight="1">
      <c r="A32" s="12"/>
      <c r="B32" s="12"/>
      <c r="C32" s="12"/>
      <c r="D32" s="12"/>
    </row>
    <row r="33" ht="15.75" customHeight="1">
      <c r="A33" s="12"/>
      <c r="B33" s="12"/>
      <c r="C33" s="12"/>
      <c r="D33" s="12"/>
    </row>
    <row r="34" ht="15.75" customHeight="1">
      <c r="A34" s="12"/>
      <c r="B34" s="12"/>
      <c r="C34" s="12"/>
      <c r="D34" s="12"/>
    </row>
    <row r="35" ht="15.75" customHeight="1">
      <c r="A35" s="12"/>
      <c r="B35" s="12"/>
      <c r="C35" s="12"/>
      <c r="D35" s="12"/>
    </row>
    <row r="36" ht="15.75" customHeight="1">
      <c r="A36" s="12"/>
      <c r="B36" s="12"/>
      <c r="C36" s="12"/>
      <c r="D36" s="12"/>
    </row>
    <row r="37" ht="15.75" customHeight="1">
      <c r="A37" s="12"/>
      <c r="B37" s="12"/>
      <c r="C37" s="12"/>
      <c r="D37" s="12"/>
    </row>
    <row r="38" ht="15.75" customHeight="1">
      <c r="A38" s="12"/>
      <c r="B38" s="12"/>
      <c r="C38" s="12"/>
      <c r="D38" s="12"/>
    </row>
    <row r="39" ht="15.75" customHeight="1">
      <c r="A39" s="12"/>
      <c r="B39" s="12"/>
      <c r="C39" s="12"/>
      <c r="D39" s="12"/>
    </row>
    <row r="40" ht="15.75" customHeight="1">
      <c r="A40" s="12"/>
      <c r="B40" s="12"/>
      <c r="C40" s="12"/>
      <c r="D40" s="12"/>
    </row>
    <row r="41" ht="15.75" customHeight="1">
      <c r="A41" s="12"/>
      <c r="B41" s="12"/>
      <c r="C41" s="12"/>
      <c r="D41" s="12"/>
    </row>
    <row r="42" ht="15.75" customHeight="1">
      <c r="A42" s="12"/>
      <c r="B42" s="12"/>
      <c r="C42" s="12"/>
      <c r="D42" s="12"/>
    </row>
    <row r="43" ht="15.75" customHeight="1">
      <c r="A43" s="12"/>
      <c r="B43" s="12"/>
      <c r="C43" s="12"/>
      <c r="D43" s="12"/>
    </row>
    <row r="44" ht="15.75" customHeight="1">
      <c r="A44" s="12"/>
      <c r="B44" s="12"/>
      <c r="C44" s="12"/>
      <c r="D44" s="12"/>
    </row>
    <row r="45" ht="15.75" customHeight="1">
      <c r="A45" s="12"/>
      <c r="B45" s="12"/>
      <c r="C45" s="12"/>
      <c r="D45" s="12"/>
    </row>
    <row r="46" ht="15.75" customHeight="1">
      <c r="A46" s="12"/>
      <c r="B46" s="12"/>
      <c r="C46" s="12"/>
      <c r="D46" s="12"/>
    </row>
    <row r="47" ht="15.75" customHeight="1">
      <c r="A47" s="12"/>
      <c r="B47" s="12"/>
      <c r="C47" s="12"/>
      <c r="D47" s="12"/>
    </row>
    <row r="48" ht="15.75" customHeight="1">
      <c r="A48" s="12"/>
      <c r="B48" s="12"/>
      <c r="C48" s="12"/>
      <c r="D48" s="12"/>
    </row>
    <row r="49" ht="15.75" customHeight="1">
      <c r="A49" s="12"/>
      <c r="B49" s="12"/>
      <c r="C49" s="12"/>
      <c r="D49" s="12"/>
    </row>
    <row r="50" ht="15.75" customHeight="1">
      <c r="A50" s="12"/>
      <c r="B50" s="12"/>
      <c r="C50" s="12"/>
      <c r="D50" s="12"/>
    </row>
    <row r="51" ht="15.75" customHeight="1">
      <c r="A51" s="12"/>
      <c r="B51" s="12"/>
      <c r="C51" s="12"/>
      <c r="D51" s="12"/>
    </row>
    <row r="52" ht="15.75" customHeight="1">
      <c r="A52" s="12"/>
      <c r="B52" s="12"/>
      <c r="C52" s="12"/>
      <c r="D52" s="12"/>
    </row>
    <row r="53" ht="15.75" customHeight="1">
      <c r="A53" s="12"/>
      <c r="B53" s="12"/>
      <c r="C53" s="12"/>
      <c r="D53" s="12"/>
    </row>
    <row r="54" ht="15.75" customHeight="1">
      <c r="A54" s="12"/>
      <c r="B54" s="12"/>
      <c r="C54" s="12"/>
      <c r="D54" s="12"/>
    </row>
    <row r="55" ht="15.75" customHeight="1">
      <c r="A55" s="12"/>
      <c r="B55" s="12"/>
      <c r="C55" s="12"/>
      <c r="D55" s="12"/>
    </row>
    <row r="56" ht="15.75" customHeight="1">
      <c r="A56" s="12"/>
      <c r="B56" s="12"/>
      <c r="C56" s="12"/>
      <c r="D56" s="12"/>
    </row>
    <row r="57" ht="15.75" customHeight="1">
      <c r="A57" s="12"/>
      <c r="B57" s="12"/>
      <c r="C57" s="12"/>
      <c r="D57" s="12"/>
    </row>
    <row r="58" ht="15.75" customHeight="1">
      <c r="A58" s="12"/>
      <c r="B58" s="12"/>
      <c r="C58" s="12"/>
      <c r="D58" s="12"/>
    </row>
    <row r="59" ht="15.75" customHeight="1">
      <c r="A59" s="12"/>
      <c r="B59" s="12"/>
      <c r="C59" s="12"/>
      <c r="D59" s="12"/>
    </row>
    <row r="60" ht="15.75" customHeight="1">
      <c r="A60" s="12"/>
      <c r="B60" s="12"/>
      <c r="C60" s="12"/>
      <c r="D60" s="12"/>
    </row>
    <row r="61" ht="15.75" customHeight="1">
      <c r="A61" s="12"/>
      <c r="B61" s="12"/>
      <c r="C61" s="12"/>
      <c r="D61" s="12"/>
    </row>
    <row r="62" ht="15.75" customHeight="1">
      <c r="A62" s="12"/>
      <c r="B62" s="12"/>
      <c r="C62" s="12"/>
      <c r="D62" s="12"/>
    </row>
    <row r="63" ht="15.75" customHeight="1">
      <c r="A63" s="12"/>
      <c r="B63" s="12"/>
      <c r="C63" s="12"/>
      <c r="D63" s="12"/>
    </row>
    <row r="64" ht="15.75" customHeight="1">
      <c r="A64" s="12"/>
      <c r="B64" s="12"/>
      <c r="C64" s="12"/>
      <c r="D64" s="12"/>
    </row>
    <row r="65" ht="15.75" customHeight="1">
      <c r="A65" s="12"/>
      <c r="B65" s="12"/>
      <c r="C65" s="12"/>
      <c r="D65" s="12"/>
    </row>
    <row r="66" ht="15.75" customHeight="1">
      <c r="A66" s="12"/>
      <c r="B66" s="12"/>
      <c r="C66" s="12"/>
      <c r="D66" s="12"/>
    </row>
    <row r="67" ht="15.75" customHeight="1">
      <c r="A67" s="12"/>
      <c r="B67" s="12"/>
      <c r="C67" s="12"/>
      <c r="D67" s="12"/>
    </row>
    <row r="68" ht="15.75" customHeight="1">
      <c r="A68" s="12"/>
      <c r="B68" s="12"/>
      <c r="C68" s="12"/>
      <c r="D68" s="12"/>
    </row>
    <row r="69" ht="15.75" customHeight="1">
      <c r="A69" s="12"/>
      <c r="B69" s="12"/>
      <c r="C69" s="12"/>
      <c r="D69" s="12"/>
    </row>
    <row r="70" ht="15.75" customHeight="1">
      <c r="A70" s="12"/>
      <c r="B70" s="12"/>
      <c r="C70" s="12"/>
      <c r="D70" s="12"/>
    </row>
    <row r="71" ht="15.75" customHeight="1">
      <c r="A71" s="12"/>
      <c r="B71" s="12"/>
      <c r="C71" s="12"/>
      <c r="D71" s="12"/>
    </row>
    <row r="72" ht="15.75" customHeight="1">
      <c r="A72" s="12"/>
      <c r="B72" s="12"/>
      <c r="C72" s="12"/>
      <c r="D72" s="12"/>
    </row>
    <row r="73" ht="15.75" customHeight="1">
      <c r="A73" s="12"/>
      <c r="B73" s="12"/>
      <c r="C73" s="12"/>
      <c r="D73" s="12"/>
    </row>
    <row r="74" ht="15.75" customHeight="1">
      <c r="A74" s="12"/>
      <c r="B74" s="12"/>
      <c r="C74" s="12"/>
      <c r="D74" s="12"/>
    </row>
    <row r="75" ht="15.75" customHeight="1">
      <c r="A75" s="12"/>
      <c r="B75" s="12"/>
      <c r="C75" s="12"/>
      <c r="D75" s="12"/>
    </row>
    <row r="76" ht="15.75" customHeight="1">
      <c r="A76" s="12"/>
      <c r="B76" s="12"/>
      <c r="C76" s="12"/>
      <c r="D76" s="12"/>
    </row>
    <row r="77" ht="15.75" customHeight="1">
      <c r="A77" s="12"/>
      <c r="B77" s="12"/>
      <c r="C77" s="12"/>
      <c r="D77" s="12"/>
    </row>
    <row r="78" ht="15.75" customHeight="1">
      <c r="A78" s="12"/>
      <c r="B78" s="12"/>
      <c r="C78" s="12"/>
      <c r="D78" s="12"/>
    </row>
    <row r="79" ht="15.75" customHeight="1">
      <c r="A79" s="12"/>
      <c r="B79" s="12"/>
      <c r="C79" s="12"/>
      <c r="D79" s="12"/>
    </row>
    <row r="80" ht="15.75" customHeight="1">
      <c r="A80" s="12"/>
      <c r="B80" s="12"/>
      <c r="C80" s="12"/>
      <c r="D80" s="12"/>
    </row>
    <row r="81" ht="15.75" customHeight="1">
      <c r="A81" s="12"/>
      <c r="B81" s="12"/>
      <c r="C81" s="12"/>
      <c r="D81" s="12"/>
    </row>
    <row r="82" ht="15.75" customHeight="1">
      <c r="A82" s="12"/>
      <c r="B82" s="12"/>
      <c r="C82" s="12"/>
      <c r="D82" s="12"/>
    </row>
    <row r="83" ht="15.75" customHeight="1">
      <c r="A83" s="12"/>
      <c r="B83" s="12"/>
      <c r="C83" s="12"/>
      <c r="D83" s="12"/>
    </row>
    <row r="84" ht="15.75" customHeight="1">
      <c r="A84" s="12"/>
      <c r="B84" s="12"/>
      <c r="C84" s="12"/>
      <c r="D84" s="12"/>
    </row>
    <row r="85" ht="15.75" customHeight="1">
      <c r="A85" s="12"/>
      <c r="B85" s="12"/>
      <c r="C85" s="12"/>
      <c r="D85" s="12"/>
    </row>
    <row r="86" ht="15.75" customHeight="1">
      <c r="A86" s="12"/>
      <c r="B86" s="12"/>
      <c r="C86" s="12"/>
      <c r="D86" s="12"/>
    </row>
    <row r="87" ht="15.75" customHeight="1">
      <c r="A87" s="12"/>
      <c r="B87" s="12"/>
      <c r="C87" s="12"/>
      <c r="D87" s="12"/>
    </row>
    <row r="88" ht="15.75" customHeight="1">
      <c r="A88" s="12"/>
      <c r="B88" s="12"/>
      <c r="C88" s="12"/>
      <c r="D88" s="12"/>
    </row>
    <row r="89" ht="15.75" customHeight="1">
      <c r="A89" s="12"/>
      <c r="B89" s="12"/>
      <c r="C89" s="12"/>
      <c r="D89" s="12"/>
    </row>
    <row r="90" ht="15.75" customHeight="1">
      <c r="A90" s="12"/>
      <c r="B90" s="12"/>
      <c r="C90" s="12"/>
      <c r="D90" s="12"/>
    </row>
    <row r="91" ht="15.75" customHeight="1">
      <c r="A91" s="12"/>
      <c r="B91" s="12"/>
      <c r="C91" s="12"/>
      <c r="D91" s="12"/>
    </row>
    <row r="92" ht="15.75" customHeight="1">
      <c r="A92" s="12"/>
      <c r="B92" s="12"/>
      <c r="C92" s="12"/>
      <c r="D92" s="12"/>
    </row>
    <row r="93" ht="15.75" customHeight="1">
      <c r="A93" s="12"/>
      <c r="B93" s="12"/>
      <c r="C93" s="12"/>
      <c r="D93" s="12"/>
    </row>
    <row r="94" ht="15.75" customHeight="1">
      <c r="A94" s="12"/>
      <c r="B94" s="12"/>
      <c r="C94" s="12"/>
      <c r="D94" s="12"/>
    </row>
    <row r="95" ht="15.75" customHeight="1">
      <c r="A95" s="12"/>
      <c r="B95" s="12"/>
      <c r="C95" s="12"/>
      <c r="D95" s="12"/>
    </row>
    <row r="96" ht="15.75" customHeight="1">
      <c r="A96" s="12"/>
      <c r="B96" s="12"/>
      <c r="C96" s="12"/>
      <c r="D96" s="12"/>
    </row>
    <row r="97" ht="15.75" customHeight="1">
      <c r="A97" s="12"/>
      <c r="B97" s="12"/>
      <c r="C97" s="12"/>
      <c r="D97" s="12"/>
    </row>
    <row r="98" ht="15.75" customHeight="1">
      <c r="A98" s="12"/>
      <c r="B98" s="12"/>
      <c r="C98" s="12"/>
      <c r="D98" s="12"/>
    </row>
    <row r="99" ht="15.75" customHeight="1">
      <c r="A99" s="12"/>
      <c r="B99" s="12"/>
      <c r="C99" s="12"/>
      <c r="D99" s="12"/>
    </row>
    <row r="100" ht="15.75" customHeight="1">
      <c r="A100" s="12"/>
      <c r="B100" s="12"/>
      <c r="C100" s="12"/>
      <c r="D100" s="1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13"/>
    <col customWidth="1" min="2" max="2" width="7.25"/>
    <col customWidth="1" min="3" max="3" width="11.5"/>
    <col customWidth="1" min="4" max="4" width="7.5"/>
    <col customWidth="1" min="5" max="5" width="10.75"/>
    <col customWidth="1" min="6" max="6" width="11.88"/>
    <col customWidth="1" min="7" max="7" width="20.0"/>
    <col customWidth="1" min="8" max="8" width="7.5"/>
    <col customWidth="1" min="9" max="26" width="8.63"/>
  </cols>
  <sheetData>
    <row r="1" ht="27.75" customHeight="1">
      <c r="A1" s="8" t="s">
        <v>239</v>
      </c>
      <c r="B1" s="8" t="s">
        <v>114</v>
      </c>
      <c r="C1" s="8" t="s">
        <v>117</v>
      </c>
      <c r="D1" s="8" t="s">
        <v>118</v>
      </c>
      <c r="E1" s="8" t="s">
        <v>137</v>
      </c>
      <c r="F1" s="8" t="s">
        <v>240</v>
      </c>
      <c r="G1" s="8" t="s">
        <v>241</v>
      </c>
      <c r="H1" s="8" t="s">
        <v>242</v>
      </c>
      <c r="I1" s="9" t="s">
        <v>119</v>
      </c>
      <c r="J1" s="9" t="s">
        <v>243</v>
      </c>
      <c r="K1" s="9" t="s">
        <v>244</v>
      </c>
      <c r="L1" s="9" t="s">
        <v>245</v>
      </c>
      <c r="M1" s="9" t="s">
        <v>128</v>
      </c>
    </row>
    <row r="2">
      <c r="A2" s="12"/>
      <c r="B2" s="12"/>
      <c r="C2" s="12"/>
      <c r="D2" s="12"/>
      <c r="E2" s="12"/>
      <c r="F2" s="12"/>
      <c r="G2" s="12"/>
      <c r="H2" s="12"/>
      <c r="I2" s="16"/>
      <c r="J2" s="16"/>
      <c r="K2" s="16"/>
      <c r="L2" s="16"/>
      <c r="M2" s="16"/>
    </row>
    <row r="3">
      <c r="A3" s="12"/>
      <c r="B3" s="12"/>
      <c r="C3" s="12"/>
      <c r="D3" s="12"/>
      <c r="E3" s="12"/>
      <c r="F3" s="12"/>
      <c r="G3" s="12"/>
      <c r="H3" s="12"/>
      <c r="I3" s="16"/>
      <c r="J3" s="16"/>
      <c r="K3" s="16"/>
      <c r="L3" s="16"/>
      <c r="M3" s="16"/>
    </row>
    <row r="4">
      <c r="A4" s="10"/>
      <c r="B4" s="10"/>
      <c r="C4" s="10"/>
      <c r="D4" s="10"/>
      <c r="E4" s="12"/>
      <c r="F4" s="10"/>
      <c r="G4" s="10"/>
      <c r="H4" s="10"/>
      <c r="I4" s="10"/>
      <c r="J4" s="10"/>
      <c r="K4" s="10"/>
      <c r="L4" s="10"/>
      <c r="M4" s="13"/>
    </row>
    <row r="5">
      <c r="A5" s="10"/>
      <c r="B5" s="10"/>
      <c r="C5" s="10"/>
      <c r="D5" s="10"/>
      <c r="E5" s="12"/>
      <c r="F5" s="10"/>
      <c r="G5" s="10"/>
      <c r="H5" s="10"/>
      <c r="I5" s="10"/>
      <c r="J5" s="10"/>
      <c r="K5" s="10"/>
      <c r="L5" s="10"/>
      <c r="M5" s="13"/>
    </row>
    <row r="6">
      <c r="A6" s="10"/>
      <c r="B6" s="10"/>
      <c r="C6" s="10"/>
      <c r="D6" s="10"/>
      <c r="E6" s="12"/>
      <c r="F6" s="10"/>
      <c r="G6" s="10"/>
      <c r="H6" s="10"/>
      <c r="I6" s="10"/>
      <c r="J6" s="10"/>
      <c r="K6" s="10"/>
      <c r="L6" s="10"/>
      <c r="M6" s="13"/>
    </row>
    <row r="7">
      <c r="A7" s="10"/>
      <c r="B7" s="10"/>
      <c r="C7" s="10"/>
      <c r="D7" s="10"/>
      <c r="E7" s="12"/>
      <c r="F7" s="10"/>
      <c r="G7" s="10"/>
      <c r="H7" s="10"/>
      <c r="I7" s="10"/>
      <c r="J7" s="10"/>
      <c r="K7" s="10"/>
      <c r="L7" s="10"/>
      <c r="M7" s="13"/>
    </row>
    <row r="8">
      <c r="A8" s="10"/>
      <c r="B8" s="10"/>
      <c r="C8" s="10"/>
      <c r="D8" s="10"/>
      <c r="E8" s="12"/>
      <c r="F8" s="10"/>
      <c r="G8" s="10"/>
      <c r="H8" s="10"/>
      <c r="I8" s="10"/>
      <c r="J8" s="10"/>
      <c r="K8" s="10"/>
      <c r="L8" s="10"/>
      <c r="M8" s="13"/>
    </row>
    <row r="9">
      <c r="A9" s="10"/>
      <c r="B9" s="10"/>
      <c r="C9" s="10"/>
      <c r="D9" s="10"/>
      <c r="E9" s="12"/>
      <c r="F9" s="10"/>
      <c r="G9" s="10"/>
      <c r="H9" s="10"/>
      <c r="I9" s="10"/>
      <c r="J9" s="10"/>
      <c r="K9" s="10"/>
      <c r="L9" s="10"/>
      <c r="M9" s="13"/>
    </row>
    <row r="10">
      <c r="A10" s="10"/>
      <c r="B10" s="10"/>
      <c r="C10" s="10"/>
      <c r="D10" s="10"/>
      <c r="E10" s="12"/>
      <c r="F10" s="10"/>
      <c r="G10" s="10"/>
      <c r="H10" s="10"/>
      <c r="I10" s="10"/>
      <c r="J10" s="10"/>
      <c r="K10" s="10"/>
      <c r="L10" s="10"/>
      <c r="M10" s="13"/>
    </row>
    <row r="11">
      <c r="A11" s="10"/>
      <c r="B11" s="10"/>
      <c r="C11" s="10"/>
      <c r="D11" s="10"/>
      <c r="E11" s="12"/>
      <c r="F11" s="10"/>
      <c r="G11" s="10"/>
      <c r="H11" s="10"/>
      <c r="I11" s="10"/>
      <c r="J11" s="10"/>
      <c r="K11" s="10"/>
      <c r="L11" s="10"/>
      <c r="M11" s="13"/>
    </row>
    <row r="12">
      <c r="A12" s="10"/>
      <c r="B12" s="10"/>
      <c r="C12" s="10"/>
      <c r="D12" s="10"/>
      <c r="E12" s="12"/>
      <c r="F12" s="10"/>
      <c r="G12" s="10"/>
      <c r="H12" s="10"/>
      <c r="I12" s="10"/>
      <c r="J12" s="10"/>
      <c r="K12" s="10"/>
      <c r="L12" s="10"/>
      <c r="M12" s="13"/>
    </row>
    <row r="13">
      <c r="A13" s="10"/>
      <c r="B13" s="10"/>
      <c r="C13" s="10"/>
      <c r="D13" s="10"/>
      <c r="E13" s="12"/>
      <c r="F13" s="10"/>
      <c r="G13" s="10"/>
      <c r="H13" s="10"/>
      <c r="I13" s="10"/>
      <c r="J13" s="10"/>
      <c r="K13" s="10"/>
      <c r="L13" s="10"/>
      <c r="M13" s="13"/>
    </row>
    <row r="14">
      <c r="A14" s="10"/>
      <c r="B14" s="10"/>
      <c r="C14" s="10"/>
      <c r="D14" s="10"/>
      <c r="E14" s="12"/>
      <c r="F14" s="10"/>
      <c r="G14" s="10"/>
      <c r="H14" s="10"/>
      <c r="I14" s="10"/>
      <c r="J14" s="10"/>
      <c r="K14" s="10"/>
      <c r="L14" s="10"/>
      <c r="M14" s="13"/>
    </row>
    <row r="15">
      <c r="A15" s="10"/>
      <c r="B15" s="10"/>
      <c r="C15" s="10"/>
      <c r="D15" s="10"/>
      <c r="E15" s="12"/>
      <c r="F15" s="10"/>
      <c r="G15" s="10"/>
      <c r="H15" s="10"/>
      <c r="I15" s="10"/>
      <c r="J15" s="10"/>
      <c r="K15" s="10"/>
      <c r="L15" s="10"/>
      <c r="M15" s="13"/>
    </row>
    <row r="16">
      <c r="A16" s="10"/>
      <c r="B16" s="10"/>
      <c r="C16" s="10"/>
      <c r="D16" s="10"/>
      <c r="E16" s="12"/>
      <c r="F16" s="10"/>
      <c r="G16" s="10"/>
      <c r="H16" s="10"/>
      <c r="I16" s="10"/>
      <c r="J16" s="10"/>
      <c r="K16" s="10"/>
      <c r="L16" s="10"/>
      <c r="M16" s="13"/>
    </row>
    <row r="17">
      <c r="A17" s="10"/>
      <c r="B17" s="10"/>
      <c r="C17" s="10"/>
      <c r="D17" s="10"/>
      <c r="E17" s="12"/>
      <c r="F17" s="10"/>
      <c r="G17" s="10"/>
      <c r="H17" s="10"/>
      <c r="I17" s="10"/>
      <c r="J17" s="10"/>
      <c r="K17" s="10"/>
      <c r="L17" s="10"/>
      <c r="M17" s="13"/>
    </row>
    <row r="18">
      <c r="A18" s="10"/>
      <c r="B18" s="10"/>
      <c r="C18" s="10"/>
      <c r="D18" s="10"/>
      <c r="E18" s="12"/>
      <c r="F18" s="10"/>
      <c r="G18" s="10"/>
      <c r="H18" s="10"/>
      <c r="I18" s="10"/>
      <c r="J18" s="10"/>
      <c r="K18" s="10"/>
      <c r="L18" s="10"/>
      <c r="M18" s="13"/>
    </row>
    <row r="19">
      <c r="A19" s="10"/>
      <c r="B19" s="10"/>
      <c r="C19" s="10"/>
      <c r="D19" s="10"/>
      <c r="E19" s="12"/>
      <c r="F19" s="10"/>
      <c r="G19" s="10"/>
      <c r="H19" s="10"/>
      <c r="I19" s="10"/>
      <c r="J19" s="10"/>
      <c r="K19" s="10"/>
      <c r="L19" s="10"/>
      <c r="M19" s="13"/>
    </row>
    <row r="20">
      <c r="A20" s="10"/>
      <c r="B20" s="10"/>
      <c r="C20" s="10"/>
      <c r="D20" s="10"/>
      <c r="E20" s="12"/>
      <c r="F20" s="10"/>
      <c r="G20" s="10"/>
      <c r="H20" s="10"/>
      <c r="I20" s="10"/>
      <c r="J20" s="10"/>
      <c r="K20" s="10"/>
      <c r="L20" s="10"/>
      <c r="M20" s="13"/>
    </row>
    <row r="21" ht="15.75" customHeight="1">
      <c r="A21" s="10"/>
      <c r="B21" s="10"/>
      <c r="C21" s="10"/>
      <c r="D21" s="10"/>
      <c r="E21" s="12"/>
      <c r="F21" s="10"/>
      <c r="G21" s="10"/>
      <c r="H21" s="10"/>
      <c r="I21" s="10"/>
      <c r="J21" s="10"/>
      <c r="K21" s="10"/>
      <c r="L21" s="10"/>
      <c r="M21" s="13"/>
    </row>
    <row r="22" ht="15.75" customHeight="1">
      <c r="A22" s="10"/>
      <c r="B22" s="10"/>
      <c r="C22" s="10"/>
      <c r="D22" s="10"/>
      <c r="E22" s="12"/>
      <c r="F22" s="10"/>
      <c r="G22" s="10"/>
      <c r="H22" s="10"/>
      <c r="I22" s="10"/>
      <c r="J22" s="10"/>
      <c r="K22" s="10"/>
      <c r="L22" s="10"/>
      <c r="M22" s="13"/>
    </row>
    <row r="23" ht="15.75" customHeight="1">
      <c r="A23" s="10"/>
      <c r="B23" s="10"/>
      <c r="C23" s="10"/>
      <c r="D23" s="10"/>
      <c r="E23" s="12"/>
      <c r="F23" s="10"/>
      <c r="G23" s="10"/>
      <c r="H23" s="10"/>
      <c r="I23" s="10"/>
      <c r="J23" s="10"/>
      <c r="K23" s="10"/>
      <c r="L23" s="10"/>
      <c r="M23" s="13"/>
    </row>
    <row r="24" ht="15.75" customHeight="1">
      <c r="A24" s="10"/>
      <c r="B24" s="10"/>
      <c r="C24" s="10"/>
      <c r="D24" s="10"/>
      <c r="E24" s="12"/>
      <c r="F24" s="10"/>
      <c r="G24" s="10"/>
      <c r="H24" s="10"/>
      <c r="I24" s="10"/>
      <c r="J24" s="10"/>
      <c r="K24" s="10"/>
      <c r="L24" s="10"/>
      <c r="M24" s="13"/>
    </row>
    <row r="25" ht="15.75" customHeight="1">
      <c r="A25" s="10"/>
      <c r="B25" s="10"/>
      <c r="C25" s="10"/>
      <c r="D25" s="10"/>
      <c r="E25" s="12"/>
      <c r="F25" s="10"/>
      <c r="G25" s="10"/>
      <c r="H25" s="10"/>
      <c r="I25" s="10"/>
      <c r="J25" s="10"/>
      <c r="K25" s="10"/>
      <c r="L25" s="10"/>
      <c r="M25" s="13"/>
    </row>
    <row r="26" ht="15.75" customHeight="1">
      <c r="A26" s="10"/>
      <c r="B26" s="10"/>
      <c r="C26" s="10"/>
      <c r="D26" s="10"/>
      <c r="E26" s="12"/>
      <c r="F26" s="10"/>
      <c r="G26" s="10"/>
      <c r="H26" s="10"/>
      <c r="I26" s="10"/>
      <c r="J26" s="10"/>
      <c r="K26" s="10"/>
      <c r="L26" s="10"/>
      <c r="M26" s="13"/>
    </row>
    <row r="27" ht="15.75" customHeight="1">
      <c r="A27" s="10"/>
      <c r="B27" s="10"/>
      <c r="C27" s="10"/>
      <c r="D27" s="10"/>
      <c r="E27" s="12"/>
      <c r="F27" s="10"/>
      <c r="G27" s="10"/>
      <c r="H27" s="10"/>
      <c r="I27" s="10"/>
      <c r="J27" s="10"/>
      <c r="K27" s="10"/>
      <c r="L27" s="10"/>
      <c r="M27" s="13"/>
    </row>
    <row r="28" ht="15.75" customHeight="1">
      <c r="A28" s="10"/>
      <c r="B28" s="10"/>
      <c r="C28" s="10"/>
      <c r="D28" s="10"/>
      <c r="E28" s="12"/>
      <c r="F28" s="10"/>
      <c r="G28" s="10"/>
      <c r="H28" s="10"/>
      <c r="I28" s="10"/>
      <c r="J28" s="10"/>
      <c r="K28" s="10"/>
      <c r="L28" s="10"/>
      <c r="M28" s="13"/>
    </row>
    <row r="29" ht="15.75" customHeight="1">
      <c r="A29" s="10"/>
      <c r="B29" s="10"/>
      <c r="C29" s="10"/>
      <c r="D29" s="10"/>
      <c r="E29" s="12"/>
      <c r="F29" s="10"/>
      <c r="G29" s="10"/>
      <c r="H29" s="10"/>
      <c r="I29" s="10"/>
      <c r="J29" s="10"/>
      <c r="K29" s="10"/>
      <c r="L29" s="10"/>
      <c r="M29" s="13"/>
    </row>
    <row r="30" ht="15.75" customHeight="1">
      <c r="A30" s="10"/>
      <c r="B30" s="10"/>
      <c r="C30" s="10"/>
      <c r="D30" s="10"/>
      <c r="E30" s="12"/>
      <c r="F30" s="10"/>
      <c r="G30" s="10"/>
      <c r="H30" s="10"/>
      <c r="I30" s="10"/>
      <c r="J30" s="10"/>
      <c r="K30" s="10"/>
      <c r="L30" s="10"/>
      <c r="M30" s="13"/>
    </row>
    <row r="31" ht="15.75" customHeight="1">
      <c r="A31" s="10"/>
      <c r="B31" s="10"/>
      <c r="C31" s="10"/>
      <c r="D31" s="10"/>
      <c r="E31" s="12"/>
      <c r="F31" s="10"/>
      <c r="G31" s="10"/>
      <c r="H31" s="10"/>
      <c r="I31" s="10"/>
      <c r="J31" s="10"/>
      <c r="K31" s="10"/>
      <c r="L31" s="10"/>
      <c r="M31" s="13"/>
    </row>
    <row r="32" ht="15.75" customHeight="1">
      <c r="A32" s="10"/>
      <c r="B32" s="10"/>
      <c r="C32" s="10"/>
      <c r="D32" s="10"/>
      <c r="E32" s="12"/>
      <c r="F32" s="10"/>
      <c r="G32" s="10"/>
      <c r="H32" s="10"/>
      <c r="I32" s="10"/>
      <c r="J32" s="10"/>
      <c r="K32" s="10"/>
      <c r="L32" s="10"/>
      <c r="M32" s="13"/>
    </row>
    <row r="33" ht="15.75" customHeight="1">
      <c r="A33" s="10"/>
      <c r="B33" s="10"/>
      <c r="C33" s="10"/>
      <c r="D33" s="10"/>
      <c r="E33" s="12"/>
      <c r="F33" s="10"/>
      <c r="G33" s="10"/>
      <c r="H33" s="10"/>
      <c r="I33" s="10"/>
      <c r="J33" s="10"/>
      <c r="K33" s="10"/>
      <c r="L33" s="10"/>
      <c r="M33" s="13"/>
    </row>
    <row r="34" ht="15.75" customHeight="1">
      <c r="A34" s="10"/>
      <c r="B34" s="10"/>
      <c r="C34" s="10"/>
      <c r="D34" s="10"/>
      <c r="E34" s="12"/>
      <c r="F34" s="10"/>
      <c r="G34" s="10"/>
      <c r="H34" s="10"/>
      <c r="I34" s="10"/>
      <c r="J34" s="10"/>
      <c r="K34" s="10"/>
      <c r="L34" s="10"/>
      <c r="M34" s="13"/>
    </row>
    <row r="35" ht="15.75" customHeight="1">
      <c r="A35" s="10"/>
      <c r="B35" s="10"/>
      <c r="C35" s="10"/>
      <c r="D35" s="10"/>
      <c r="E35" s="12"/>
      <c r="F35" s="10"/>
      <c r="G35" s="10"/>
      <c r="H35" s="10"/>
      <c r="I35" s="10"/>
      <c r="J35" s="10"/>
      <c r="K35" s="10"/>
      <c r="L35" s="10"/>
      <c r="M35" s="13"/>
    </row>
    <row r="36" ht="15.75" customHeight="1">
      <c r="A36" s="10"/>
      <c r="B36" s="10"/>
      <c r="C36" s="10"/>
      <c r="D36" s="10"/>
      <c r="E36" s="12"/>
      <c r="F36" s="10"/>
      <c r="G36" s="10"/>
      <c r="H36" s="10"/>
      <c r="I36" s="10"/>
      <c r="J36" s="10"/>
      <c r="K36" s="10"/>
      <c r="L36" s="10"/>
      <c r="M36" s="13"/>
    </row>
    <row r="37" ht="15.75" customHeight="1">
      <c r="A37" s="10"/>
      <c r="B37" s="10"/>
      <c r="C37" s="10"/>
      <c r="D37" s="10"/>
      <c r="E37" s="12"/>
      <c r="F37" s="10"/>
      <c r="G37" s="10"/>
      <c r="H37" s="10"/>
      <c r="I37" s="10"/>
      <c r="J37" s="10"/>
      <c r="K37" s="10"/>
      <c r="L37" s="10"/>
      <c r="M37" s="13"/>
    </row>
    <row r="38" ht="15.75" customHeight="1">
      <c r="A38" s="10"/>
      <c r="B38" s="10"/>
      <c r="C38" s="10"/>
      <c r="D38" s="10"/>
      <c r="E38" s="12"/>
      <c r="F38" s="10"/>
      <c r="G38" s="10"/>
      <c r="H38" s="10"/>
      <c r="I38" s="10"/>
      <c r="J38" s="10"/>
      <c r="K38" s="10"/>
      <c r="L38" s="10"/>
      <c r="M38" s="13"/>
    </row>
    <row r="39" ht="15.75" customHeight="1">
      <c r="A39" s="10"/>
      <c r="B39" s="10"/>
      <c r="C39" s="10"/>
      <c r="D39" s="10"/>
      <c r="E39" s="12"/>
      <c r="F39" s="10"/>
      <c r="G39" s="10"/>
      <c r="H39" s="10"/>
      <c r="I39" s="10"/>
      <c r="J39" s="10"/>
      <c r="K39" s="10"/>
      <c r="L39" s="10"/>
      <c r="M39" s="13"/>
    </row>
    <row r="40" ht="15.75" customHeight="1">
      <c r="A40" s="10"/>
      <c r="B40" s="10"/>
      <c r="C40" s="10"/>
      <c r="D40" s="10"/>
      <c r="E40" s="12"/>
      <c r="F40" s="10"/>
      <c r="G40" s="10"/>
      <c r="H40" s="10"/>
      <c r="I40" s="10"/>
      <c r="J40" s="10"/>
      <c r="K40" s="10"/>
      <c r="L40" s="10"/>
      <c r="M40" s="13"/>
    </row>
    <row r="41" ht="15.75" customHeight="1">
      <c r="A41" s="10"/>
      <c r="B41" s="10"/>
      <c r="C41" s="10"/>
      <c r="D41" s="10"/>
      <c r="E41" s="12"/>
      <c r="F41" s="10"/>
      <c r="G41" s="10"/>
      <c r="H41" s="10"/>
      <c r="I41" s="10"/>
      <c r="J41" s="10"/>
      <c r="K41" s="10"/>
      <c r="L41" s="10"/>
      <c r="M41" s="13"/>
    </row>
    <row r="42" ht="15.75" customHeight="1">
      <c r="A42" s="10"/>
      <c r="B42" s="10"/>
      <c r="C42" s="10"/>
      <c r="D42" s="10"/>
      <c r="E42" s="12"/>
      <c r="F42" s="10"/>
      <c r="G42" s="10"/>
      <c r="H42" s="10"/>
      <c r="I42" s="10"/>
      <c r="J42" s="10"/>
      <c r="K42" s="10"/>
      <c r="L42" s="10"/>
      <c r="M42" s="13"/>
    </row>
    <row r="43" ht="15.75" customHeight="1">
      <c r="A43" s="10"/>
      <c r="B43" s="10"/>
      <c r="C43" s="10"/>
      <c r="D43" s="10"/>
      <c r="E43" s="12"/>
      <c r="F43" s="10"/>
      <c r="G43" s="10"/>
      <c r="H43" s="10"/>
      <c r="I43" s="10"/>
      <c r="J43" s="10"/>
      <c r="K43" s="10"/>
      <c r="L43" s="10"/>
      <c r="M43" s="13"/>
    </row>
    <row r="44" ht="15.75" customHeight="1">
      <c r="A44" s="10"/>
      <c r="B44" s="10"/>
      <c r="C44" s="10"/>
      <c r="D44" s="10"/>
      <c r="E44" s="12"/>
      <c r="F44" s="10"/>
      <c r="G44" s="10"/>
      <c r="H44" s="10"/>
      <c r="I44" s="10"/>
      <c r="J44" s="10"/>
      <c r="K44" s="10"/>
      <c r="L44" s="10"/>
      <c r="M44" s="13"/>
    </row>
    <row r="45" ht="15.75" customHeight="1">
      <c r="A45" s="10"/>
      <c r="B45" s="10"/>
      <c r="C45" s="10"/>
      <c r="D45" s="10"/>
      <c r="E45" s="12"/>
      <c r="F45" s="10"/>
      <c r="G45" s="10"/>
      <c r="H45" s="10"/>
      <c r="I45" s="10"/>
      <c r="J45" s="10"/>
      <c r="K45" s="10"/>
      <c r="L45" s="10"/>
      <c r="M45" s="13"/>
    </row>
    <row r="46" ht="15.75" customHeight="1">
      <c r="A46" s="10"/>
      <c r="B46" s="10"/>
      <c r="C46" s="10"/>
      <c r="D46" s="10"/>
      <c r="E46" s="12"/>
      <c r="F46" s="10"/>
      <c r="G46" s="10"/>
      <c r="H46" s="10"/>
      <c r="I46" s="10"/>
      <c r="J46" s="10"/>
      <c r="K46" s="10"/>
      <c r="L46" s="10"/>
      <c r="M46" s="13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6"/>
      <c r="J47" s="16"/>
      <c r="K47" s="16"/>
      <c r="L47" s="16"/>
      <c r="M47" s="16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6"/>
      <c r="J48" s="16"/>
      <c r="K48" s="16"/>
      <c r="L48" s="16"/>
      <c r="M48" s="16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6"/>
      <c r="J49" s="16"/>
      <c r="K49" s="16"/>
      <c r="L49" s="16"/>
      <c r="M49" s="16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6"/>
      <c r="J50" s="16"/>
      <c r="K50" s="16"/>
      <c r="L50" s="16"/>
      <c r="M50" s="16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6"/>
      <c r="J51" s="16"/>
      <c r="K51" s="16"/>
      <c r="L51" s="16"/>
      <c r="M51" s="16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6"/>
      <c r="J52" s="16"/>
      <c r="K52" s="16"/>
      <c r="L52" s="16"/>
      <c r="M52" s="16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6"/>
      <c r="J53" s="16"/>
      <c r="K53" s="16"/>
      <c r="L53" s="16"/>
      <c r="M53" s="16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6"/>
      <c r="J54" s="16"/>
      <c r="K54" s="16"/>
      <c r="L54" s="16"/>
      <c r="M54" s="16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6"/>
      <c r="J55" s="16"/>
      <c r="K55" s="16"/>
      <c r="L55" s="16"/>
      <c r="M55" s="16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6"/>
      <c r="J56" s="16"/>
      <c r="K56" s="16"/>
      <c r="L56" s="16"/>
      <c r="M56" s="16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6"/>
      <c r="J57" s="16"/>
      <c r="K57" s="16"/>
      <c r="L57" s="16"/>
      <c r="M57" s="16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6"/>
      <c r="J58" s="16"/>
      <c r="K58" s="16"/>
      <c r="L58" s="16"/>
      <c r="M58" s="16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6"/>
      <c r="J59" s="16"/>
      <c r="K59" s="16"/>
      <c r="L59" s="16"/>
      <c r="M59" s="16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6"/>
      <c r="J60" s="16"/>
      <c r="K60" s="16"/>
      <c r="L60" s="16"/>
      <c r="M60" s="16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6"/>
      <c r="J61" s="16"/>
      <c r="K61" s="16"/>
      <c r="L61" s="16"/>
      <c r="M61" s="16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6"/>
      <c r="J62" s="16"/>
      <c r="K62" s="16"/>
      <c r="L62" s="16"/>
      <c r="M62" s="16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6"/>
      <c r="J63" s="16"/>
      <c r="K63" s="16"/>
      <c r="L63" s="16"/>
      <c r="M63" s="16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6"/>
      <c r="J64" s="16"/>
      <c r="K64" s="16"/>
      <c r="L64" s="16"/>
      <c r="M64" s="16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6"/>
      <c r="J65" s="16"/>
      <c r="K65" s="16"/>
      <c r="L65" s="16"/>
      <c r="M65" s="16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6"/>
      <c r="J66" s="16"/>
      <c r="K66" s="16"/>
      <c r="L66" s="16"/>
      <c r="M66" s="16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6"/>
      <c r="J67" s="16"/>
      <c r="K67" s="16"/>
      <c r="L67" s="16"/>
      <c r="M67" s="16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6"/>
      <c r="J68" s="16"/>
      <c r="K68" s="16"/>
      <c r="L68" s="16"/>
      <c r="M68" s="16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6"/>
      <c r="J69" s="16"/>
      <c r="K69" s="16"/>
      <c r="L69" s="16"/>
      <c r="M69" s="16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6"/>
      <c r="J70" s="16"/>
      <c r="K70" s="16"/>
      <c r="L70" s="16"/>
      <c r="M70" s="16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6"/>
      <c r="J71" s="16"/>
      <c r="K71" s="16"/>
      <c r="L71" s="16"/>
      <c r="M71" s="16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6"/>
      <c r="J72" s="16"/>
      <c r="K72" s="16"/>
      <c r="L72" s="16"/>
      <c r="M72" s="16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6"/>
      <c r="J73" s="16"/>
      <c r="K73" s="16"/>
      <c r="L73" s="16"/>
      <c r="M73" s="16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6"/>
      <c r="J74" s="16"/>
      <c r="K74" s="16"/>
      <c r="L74" s="16"/>
      <c r="M74" s="16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6"/>
      <c r="J75" s="16"/>
      <c r="K75" s="16"/>
      <c r="L75" s="16"/>
      <c r="M75" s="16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6"/>
      <c r="J76" s="16"/>
      <c r="K76" s="16"/>
      <c r="L76" s="16"/>
      <c r="M76" s="16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6"/>
      <c r="J77" s="16"/>
      <c r="K77" s="16"/>
      <c r="L77" s="16"/>
      <c r="M77" s="16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6"/>
      <c r="J78" s="16"/>
      <c r="K78" s="16"/>
      <c r="L78" s="16"/>
      <c r="M78" s="16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6"/>
      <c r="J79" s="16"/>
      <c r="K79" s="16"/>
      <c r="L79" s="16"/>
      <c r="M79" s="16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6"/>
      <c r="J80" s="16"/>
      <c r="K80" s="16"/>
      <c r="L80" s="16"/>
      <c r="M80" s="16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6"/>
      <c r="J81" s="16"/>
      <c r="K81" s="16"/>
      <c r="L81" s="16"/>
      <c r="M81" s="16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6"/>
      <c r="J82" s="16"/>
      <c r="K82" s="16"/>
      <c r="L82" s="16"/>
      <c r="M82" s="16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6"/>
      <c r="J83" s="16"/>
      <c r="K83" s="16"/>
      <c r="L83" s="16"/>
      <c r="M83" s="16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6"/>
      <c r="J84" s="16"/>
      <c r="K84" s="16"/>
      <c r="L84" s="16"/>
      <c r="M84" s="16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6"/>
      <c r="J85" s="16"/>
      <c r="K85" s="16"/>
      <c r="L85" s="16"/>
      <c r="M85" s="16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6"/>
      <c r="J86" s="16"/>
      <c r="K86" s="16"/>
      <c r="L86" s="16"/>
      <c r="M86" s="16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6"/>
      <c r="J87" s="16"/>
      <c r="K87" s="16"/>
      <c r="L87" s="16"/>
      <c r="M87" s="16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6"/>
      <c r="J88" s="16"/>
      <c r="K88" s="16"/>
      <c r="L88" s="16"/>
      <c r="M88" s="16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6"/>
      <c r="J89" s="16"/>
      <c r="K89" s="16"/>
      <c r="L89" s="16"/>
      <c r="M89" s="16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6"/>
      <c r="J90" s="16"/>
      <c r="K90" s="16"/>
      <c r="L90" s="16"/>
      <c r="M90" s="16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6"/>
      <c r="J91" s="16"/>
      <c r="K91" s="16"/>
      <c r="L91" s="16"/>
      <c r="M91" s="16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6"/>
      <c r="J92" s="16"/>
      <c r="K92" s="16"/>
      <c r="L92" s="16"/>
      <c r="M92" s="16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6"/>
      <c r="J93" s="16"/>
      <c r="K93" s="16"/>
      <c r="L93" s="16"/>
      <c r="M93" s="16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6"/>
      <c r="J94" s="16"/>
      <c r="K94" s="16"/>
      <c r="L94" s="16"/>
      <c r="M94" s="16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6"/>
      <c r="J95" s="16"/>
      <c r="K95" s="16"/>
      <c r="L95" s="16"/>
      <c r="M95" s="16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6"/>
      <c r="J96" s="16"/>
      <c r="K96" s="16"/>
      <c r="L96" s="16"/>
      <c r="M96" s="16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6"/>
      <c r="J97" s="16"/>
      <c r="K97" s="16"/>
      <c r="L97" s="16"/>
      <c r="M97" s="16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6"/>
      <c r="J98" s="16"/>
      <c r="K98" s="16"/>
      <c r="L98" s="16"/>
      <c r="M98" s="16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6"/>
      <c r="J99" s="16"/>
      <c r="K99" s="16"/>
      <c r="L99" s="16"/>
      <c r="M99" s="16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6"/>
      <c r="J100" s="16"/>
      <c r="K100" s="16"/>
      <c r="L100" s="16"/>
      <c r="M100" s="16"/>
    </row>
    <row r="101" ht="15.75" customHeight="1">
      <c r="E101" s="5"/>
      <c r="F101" s="5"/>
    </row>
    <row r="102" ht="15.75" customHeight="1">
      <c r="E102" s="5"/>
      <c r="F102" s="5"/>
    </row>
    <row r="103" ht="15.75" customHeight="1">
      <c r="E103" s="5"/>
      <c r="F103" s="5"/>
    </row>
    <row r="104" ht="15.75" customHeight="1">
      <c r="E104" s="5"/>
      <c r="F104" s="5"/>
    </row>
    <row r="105" ht="15.75" customHeight="1">
      <c r="E105" s="5"/>
      <c r="F105" s="5"/>
    </row>
    <row r="106" ht="15.75" customHeight="1">
      <c r="E106" s="5"/>
      <c r="F106" s="5"/>
    </row>
    <row r="107" ht="15.75" customHeight="1">
      <c r="E107" s="5"/>
      <c r="F107" s="5"/>
    </row>
    <row r="108" ht="15.75" customHeight="1">
      <c r="E108" s="5"/>
      <c r="F108" s="5"/>
    </row>
    <row r="109" ht="15.75" customHeight="1">
      <c r="E109" s="5"/>
      <c r="F109" s="5"/>
    </row>
    <row r="110" ht="15.75" customHeight="1">
      <c r="E110" s="5"/>
      <c r="F110" s="5"/>
    </row>
    <row r="111" ht="15.75" customHeight="1">
      <c r="E111" s="5"/>
      <c r="F111" s="5"/>
    </row>
    <row r="112" ht="15.75" customHeight="1">
      <c r="E112" s="5"/>
      <c r="F112" s="5"/>
    </row>
    <row r="113" ht="15.75" customHeight="1">
      <c r="E113" s="5"/>
      <c r="F113" s="5"/>
    </row>
    <row r="114" ht="15.75" customHeight="1">
      <c r="E114" s="5"/>
      <c r="F114" s="5"/>
    </row>
    <row r="115" ht="15.75" customHeight="1">
      <c r="E115" s="5"/>
      <c r="F115" s="5"/>
    </row>
    <row r="116" ht="15.75" customHeight="1">
      <c r="E116" s="5"/>
      <c r="F116" s="5"/>
    </row>
    <row r="117" ht="15.75" customHeight="1">
      <c r="E117" s="5"/>
      <c r="F117" s="5"/>
    </row>
    <row r="118" ht="15.75" customHeight="1">
      <c r="E118" s="5"/>
      <c r="F118" s="5"/>
    </row>
    <row r="119" ht="15.75" customHeight="1">
      <c r="E119" s="5"/>
      <c r="F119" s="5"/>
    </row>
    <row r="120" ht="15.75" customHeight="1">
      <c r="E120" s="5"/>
      <c r="F120" s="5"/>
    </row>
    <row r="121" ht="15.75" customHeight="1">
      <c r="E121" s="5"/>
      <c r="F121" s="5"/>
    </row>
    <row r="122" ht="15.75" customHeight="1">
      <c r="E122" s="5"/>
      <c r="F122" s="5"/>
    </row>
    <row r="123" ht="15.75" customHeight="1">
      <c r="E123" s="5"/>
      <c r="F123" s="5"/>
    </row>
    <row r="124" ht="15.75" customHeight="1">
      <c r="E124" s="5"/>
      <c r="F124" s="5"/>
    </row>
    <row r="125" ht="15.75" customHeight="1">
      <c r="E125" s="5"/>
      <c r="F125" s="5"/>
    </row>
    <row r="126" ht="15.75" customHeight="1">
      <c r="E126" s="5"/>
      <c r="F126" s="5"/>
    </row>
    <row r="127" ht="15.75" customHeight="1">
      <c r="E127" s="5"/>
      <c r="F127" s="5"/>
    </row>
    <row r="128" ht="15.75" customHeight="1">
      <c r="E128" s="5"/>
      <c r="F128" s="5"/>
    </row>
    <row r="129" ht="15.75" customHeight="1">
      <c r="E129" s="5"/>
      <c r="F129" s="5"/>
    </row>
    <row r="130" ht="15.75" customHeight="1">
      <c r="E130" s="5"/>
      <c r="F130" s="5"/>
    </row>
    <row r="131" ht="15.75" customHeight="1">
      <c r="E131" s="5"/>
      <c r="F131" s="5"/>
    </row>
    <row r="132" ht="15.75" customHeight="1">
      <c r="E132" s="5"/>
      <c r="F132" s="5"/>
    </row>
    <row r="133" ht="15.75" customHeight="1">
      <c r="E133" s="5"/>
      <c r="F133" s="5"/>
    </row>
    <row r="134" ht="15.75" customHeight="1">
      <c r="E134" s="5"/>
      <c r="F134" s="5"/>
    </row>
    <row r="135" ht="15.75" customHeight="1">
      <c r="E135" s="5"/>
      <c r="F135" s="5"/>
    </row>
    <row r="136" ht="15.75" customHeight="1">
      <c r="E136" s="5"/>
      <c r="F136" s="5"/>
    </row>
    <row r="137" ht="15.75" customHeight="1">
      <c r="E137" s="5"/>
      <c r="F137" s="5"/>
    </row>
    <row r="138" ht="15.75" customHeight="1">
      <c r="E138" s="5"/>
      <c r="F138" s="5"/>
    </row>
    <row r="139" ht="15.75" customHeight="1">
      <c r="E139" s="5"/>
      <c r="F139" s="5"/>
    </row>
    <row r="140" ht="15.75" customHeight="1">
      <c r="E140" s="5"/>
      <c r="F140" s="5"/>
    </row>
    <row r="141" ht="15.75" customHeight="1">
      <c r="E141" s="5"/>
      <c r="F141" s="5"/>
    </row>
    <row r="142" ht="15.75" customHeight="1">
      <c r="E142" s="5"/>
      <c r="F142" s="5"/>
    </row>
    <row r="143" ht="15.75" customHeight="1">
      <c r="E143" s="5"/>
      <c r="F143" s="5"/>
    </row>
    <row r="144" ht="15.75" customHeight="1">
      <c r="E144" s="5"/>
      <c r="F144" s="5"/>
    </row>
    <row r="145" ht="15.75" customHeight="1">
      <c r="E145" s="5"/>
      <c r="F145" s="5"/>
    </row>
    <row r="146" ht="15.75" customHeight="1">
      <c r="E146" s="5"/>
      <c r="F146" s="5"/>
    </row>
    <row r="147" ht="15.75" customHeight="1">
      <c r="E147" s="5"/>
      <c r="F147" s="5"/>
    </row>
    <row r="148" ht="15.75" customHeight="1">
      <c r="E148" s="5"/>
      <c r="F148" s="5"/>
    </row>
    <row r="149" ht="15.75" customHeight="1">
      <c r="E149" s="5"/>
      <c r="F149" s="5"/>
    </row>
    <row r="150" ht="15.75" customHeight="1">
      <c r="E150" s="5"/>
      <c r="F150" s="5"/>
    </row>
    <row r="151" ht="15.75" customHeight="1">
      <c r="E151" s="5"/>
      <c r="F151" s="5"/>
    </row>
    <row r="152" ht="15.75" customHeight="1">
      <c r="E152" s="5"/>
      <c r="F152" s="5"/>
    </row>
    <row r="153" ht="15.75" customHeight="1">
      <c r="E153" s="5"/>
      <c r="F153" s="5"/>
    </row>
    <row r="154" ht="15.75" customHeight="1">
      <c r="E154" s="5"/>
      <c r="F154" s="5"/>
    </row>
    <row r="155" ht="15.75" customHeight="1">
      <c r="E155" s="5"/>
      <c r="F155" s="5"/>
    </row>
    <row r="156" ht="15.75" customHeight="1">
      <c r="E156" s="5"/>
      <c r="F156" s="5"/>
    </row>
    <row r="157" ht="15.75" customHeight="1">
      <c r="E157" s="5"/>
      <c r="F157" s="5"/>
    </row>
    <row r="158" ht="15.75" customHeight="1">
      <c r="E158" s="5"/>
      <c r="F158" s="5"/>
    </row>
    <row r="159" ht="15.75" customHeight="1">
      <c r="E159" s="5"/>
      <c r="F159" s="5"/>
    </row>
    <row r="160" ht="15.75" customHeight="1">
      <c r="E160" s="5"/>
      <c r="F160" s="5"/>
    </row>
    <row r="161" ht="15.75" customHeight="1">
      <c r="E161" s="5"/>
      <c r="F161" s="5"/>
    </row>
    <row r="162" ht="15.75" customHeight="1">
      <c r="E162" s="5"/>
      <c r="F162" s="5"/>
    </row>
    <row r="163" ht="15.75" customHeight="1">
      <c r="E163" s="5"/>
      <c r="F163" s="5"/>
    </row>
    <row r="164" ht="15.75" customHeight="1">
      <c r="E164" s="5"/>
      <c r="F164" s="5"/>
    </row>
    <row r="165" ht="15.75" customHeight="1">
      <c r="E165" s="5"/>
      <c r="F165" s="5"/>
    </row>
    <row r="166" ht="15.75" customHeight="1">
      <c r="E166" s="5"/>
      <c r="F166" s="5"/>
    </row>
    <row r="167" ht="15.75" customHeight="1">
      <c r="E167" s="5"/>
      <c r="F167" s="5"/>
    </row>
    <row r="168" ht="15.75" customHeight="1">
      <c r="E168" s="5"/>
      <c r="F168" s="5"/>
    </row>
    <row r="169" ht="15.75" customHeight="1">
      <c r="E169" s="5"/>
      <c r="F169" s="5"/>
    </row>
    <row r="170" ht="15.75" customHeight="1">
      <c r="E170" s="5"/>
      <c r="F170" s="5"/>
    </row>
    <row r="171" ht="15.75" customHeight="1">
      <c r="E171" s="5"/>
      <c r="F171" s="5"/>
    </row>
    <row r="172" ht="15.75" customHeight="1">
      <c r="E172" s="5"/>
      <c r="F172" s="5"/>
    </row>
    <row r="173" ht="15.75" customHeight="1">
      <c r="E173" s="5"/>
      <c r="F173" s="5"/>
    </row>
    <row r="174" ht="15.75" customHeight="1">
      <c r="E174" s="5"/>
      <c r="F174" s="5"/>
    </row>
    <row r="175" ht="15.75" customHeight="1">
      <c r="E175" s="5"/>
      <c r="F175" s="5"/>
    </row>
    <row r="176" ht="15.75" customHeight="1">
      <c r="E176" s="5"/>
      <c r="F176" s="5"/>
    </row>
    <row r="177" ht="15.75" customHeight="1">
      <c r="E177" s="5"/>
      <c r="F177" s="5"/>
    </row>
    <row r="178" ht="15.75" customHeight="1">
      <c r="E178" s="5"/>
      <c r="F178" s="5"/>
    </row>
    <row r="179" ht="15.75" customHeight="1">
      <c r="E179" s="5"/>
      <c r="F179" s="5"/>
    </row>
    <row r="180" ht="15.75" customHeight="1">
      <c r="E180" s="5"/>
      <c r="F180" s="5"/>
    </row>
    <row r="181" ht="15.75" customHeight="1">
      <c r="E181" s="5"/>
      <c r="F181" s="5"/>
    </row>
    <row r="182" ht="15.75" customHeight="1">
      <c r="E182" s="5"/>
      <c r="F182" s="5"/>
    </row>
    <row r="183" ht="15.75" customHeight="1">
      <c r="E183" s="5"/>
      <c r="F183" s="5"/>
    </row>
    <row r="184" ht="15.75" customHeight="1">
      <c r="E184" s="5"/>
      <c r="F184" s="5"/>
    </row>
    <row r="185" ht="15.75" customHeight="1">
      <c r="E185" s="5"/>
      <c r="F185" s="5"/>
    </row>
    <row r="186" ht="15.75" customHeight="1">
      <c r="E186" s="5"/>
      <c r="F186" s="5"/>
    </row>
    <row r="187" ht="15.75" customHeight="1">
      <c r="E187" s="5"/>
      <c r="F187" s="5"/>
    </row>
    <row r="188" ht="15.75" customHeight="1">
      <c r="E188" s="5"/>
      <c r="F188" s="5"/>
    </row>
    <row r="189" ht="15.75" customHeight="1">
      <c r="E189" s="5"/>
      <c r="F189" s="5"/>
    </row>
    <row r="190" ht="15.75" customHeight="1">
      <c r="E190" s="5"/>
      <c r="F190" s="5"/>
    </row>
    <row r="191" ht="15.75" customHeight="1">
      <c r="E191" s="5"/>
      <c r="F191" s="5"/>
    </row>
    <row r="192" ht="15.75" customHeight="1">
      <c r="E192" s="5"/>
      <c r="F192" s="5"/>
    </row>
    <row r="193" ht="15.75" customHeight="1">
      <c r="E193" s="5"/>
      <c r="F193" s="5"/>
    </row>
    <row r="194" ht="15.75" customHeight="1">
      <c r="E194" s="5"/>
      <c r="F194" s="5"/>
    </row>
    <row r="195" ht="15.75" customHeight="1">
      <c r="E195" s="5"/>
      <c r="F195" s="5"/>
    </row>
    <row r="196" ht="15.75" customHeight="1">
      <c r="E196" s="5"/>
      <c r="F196" s="5"/>
    </row>
    <row r="197" ht="15.75" customHeight="1">
      <c r="E197" s="5"/>
      <c r="F197" s="5"/>
    </row>
    <row r="198" ht="15.75" customHeight="1">
      <c r="E198" s="5"/>
      <c r="F198" s="5"/>
    </row>
    <row r="199" ht="15.75" customHeight="1">
      <c r="E199" s="5"/>
      <c r="F199" s="5"/>
    </row>
    <row r="200" ht="15.75" customHeight="1">
      <c r="E200" s="5"/>
      <c r="F200" s="5"/>
    </row>
    <row r="201" ht="15.75" customHeight="1">
      <c r="E201" s="5"/>
      <c r="F201" s="5"/>
    </row>
    <row r="202" ht="15.75" customHeight="1">
      <c r="E202" s="5"/>
      <c r="F202" s="5"/>
    </row>
    <row r="203" ht="15.75" customHeight="1">
      <c r="E203" s="5"/>
      <c r="F203" s="5"/>
    </row>
    <row r="204" ht="15.75" customHeight="1">
      <c r="E204" s="5"/>
      <c r="F204" s="5"/>
    </row>
    <row r="205" ht="15.75" customHeight="1">
      <c r="E205" s="5"/>
      <c r="F205" s="5"/>
    </row>
    <row r="206" ht="15.75" customHeight="1">
      <c r="E206" s="5"/>
      <c r="F206" s="5"/>
    </row>
    <row r="207" ht="15.75" customHeight="1">
      <c r="E207" s="5"/>
      <c r="F207" s="5"/>
    </row>
    <row r="208" ht="15.75" customHeight="1">
      <c r="E208" s="5"/>
      <c r="F208" s="5"/>
    </row>
    <row r="209" ht="15.75" customHeight="1">
      <c r="E209" s="5"/>
      <c r="F209" s="5"/>
    </row>
    <row r="210" ht="15.75" customHeight="1">
      <c r="E210" s="5"/>
      <c r="F210" s="5"/>
    </row>
    <row r="211" ht="15.75" customHeight="1">
      <c r="E211" s="5"/>
      <c r="F211" s="5"/>
    </row>
    <row r="212" ht="15.75" customHeight="1">
      <c r="E212" s="5"/>
      <c r="F212" s="5"/>
    </row>
    <row r="213" ht="15.75" customHeight="1">
      <c r="E213" s="5"/>
      <c r="F213" s="5"/>
    </row>
    <row r="214" ht="15.75" customHeight="1">
      <c r="E214" s="5"/>
      <c r="F214" s="5"/>
    </row>
    <row r="215" ht="15.75" customHeight="1">
      <c r="E215" s="5"/>
      <c r="F215" s="5"/>
    </row>
    <row r="216" ht="15.75" customHeight="1">
      <c r="E216" s="5"/>
      <c r="F216" s="5"/>
    </row>
    <row r="217" ht="15.75" customHeight="1">
      <c r="E217" s="5"/>
      <c r="F217" s="5"/>
    </row>
    <row r="218" ht="15.75" customHeight="1">
      <c r="E218" s="5"/>
      <c r="F218" s="5"/>
    </row>
    <row r="219" ht="15.75" customHeight="1">
      <c r="E219" s="5"/>
      <c r="F219" s="5"/>
    </row>
    <row r="220" ht="15.75" customHeight="1">
      <c r="E220" s="5"/>
      <c r="F220" s="5"/>
    </row>
    <row r="221" ht="15.75" customHeight="1">
      <c r="E221" s="5"/>
      <c r="F221" s="5"/>
    </row>
    <row r="222" ht="15.75" customHeight="1">
      <c r="E222" s="5"/>
      <c r="F222" s="5"/>
    </row>
    <row r="223" ht="15.75" customHeight="1">
      <c r="E223" s="5"/>
      <c r="F223" s="5"/>
    </row>
    <row r="224" ht="15.75" customHeight="1">
      <c r="E224" s="5"/>
      <c r="F224" s="5"/>
    </row>
    <row r="225" ht="15.75" customHeight="1">
      <c r="E225" s="5"/>
      <c r="F225" s="5"/>
    </row>
    <row r="226" ht="15.75" customHeight="1">
      <c r="E226" s="5"/>
      <c r="F226" s="5"/>
    </row>
    <row r="227" ht="15.75" customHeight="1">
      <c r="E227" s="5"/>
      <c r="F227" s="5"/>
    </row>
    <row r="228" ht="15.75" customHeight="1">
      <c r="E228" s="5"/>
      <c r="F228" s="5"/>
    </row>
    <row r="229" ht="15.75" customHeight="1">
      <c r="E229" s="5"/>
      <c r="F229" s="5"/>
    </row>
    <row r="230" ht="15.75" customHeight="1">
      <c r="E230" s="5"/>
      <c r="F230" s="5"/>
    </row>
    <row r="231" ht="15.75" customHeight="1">
      <c r="E231" s="5"/>
      <c r="F231" s="5"/>
    </row>
    <row r="232" ht="15.75" customHeight="1">
      <c r="E232" s="5"/>
      <c r="F232" s="5"/>
    </row>
    <row r="233" ht="15.75" customHeight="1">
      <c r="E233" s="5"/>
      <c r="F233" s="5"/>
    </row>
    <row r="234" ht="15.75" customHeight="1">
      <c r="E234" s="5"/>
      <c r="F234" s="5"/>
    </row>
    <row r="235" ht="15.75" customHeight="1">
      <c r="E235" s="5"/>
      <c r="F235" s="5"/>
    </row>
    <row r="236" ht="15.75" customHeight="1">
      <c r="E236" s="5"/>
      <c r="F236" s="5"/>
    </row>
    <row r="237" ht="15.75" customHeight="1">
      <c r="E237" s="5"/>
      <c r="F237" s="5"/>
    </row>
    <row r="238" ht="15.75" customHeight="1">
      <c r="E238" s="5"/>
      <c r="F238" s="5"/>
    </row>
    <row r="239" ht="15.75" customHeight="1">
      <c r="E239" s="5"/>
      <c r="F239" s="5"/>
    </row>
    <row r="240" ht="15.75" customHeight="1">
      <c r="E240" s="5"/>
      <c r="F240" s="5"/>
    </row>
    <row r="241" ht="15.75" customHeight="1">
      <c r="E241" s="5"/>
      <c r="F241" s="5"/>
    </row>
    <row r="242" ht="15.75" customHeight="1">
      <c r="E242" s="5"/>
      <c r="F242" s="5"/>
    </row>
    <row r="243" ht="15.75" customHeight="1">
      <c r="E243" s="5"/>
      <c r="F243" s="5"/>
    </row>
    <row r="244" ht="15.75" customHeight="1">
      <c r="E244" s="5"/>
      <c r="F244" s="5"/>
    </row>
    <row r="245" ht="15.75" customHeight="1">
      <c r="E245" s="5"/>
      <c r="F245" s="5"/>
    </row>
    <row r="246" ht="15.75" customHeight="1">
      <c r="E246" s="5"/>
      <c r="F246" s="5"/>
    </row>
    <row r="247" ht="15.75" customHeight="1">
      <c r="E247" s="5"/>
      <c r="F247" s="5"/>
    </row>
    <row r="248" ht="15.75" customHeight="1">
      <c r="E248" s="5"/>
      <c r="F248" s="5"/>
    </row>
    <row r="249" ht="15.75" customHeight="1">
      <c r="E249" s="5"/>
      <c r="F249" s="5"/>
    </row>
    <row r="250" ht="15.75" customHeight="1">
      <c r="E250" s="5"/>
      <c r="F250" s="5"/>
    </row>
    <row r="251" ht="15.75" customHeight="1">
      <c r="E251" s="5"/>
      <c r="F251" s="5"/>
    </row>
    <row r="252" ht="15.75" customHeight="1">
      <c r="E252" s="5"/>
      <c r="F252" s="5"/>
    </row>
    <row r="253" ht="15.75" customHeight="1">
      <c r="E253" s="5"/>
      <c r="F253" s="5"/>
    </row>
    <row r="254" ht="15.75" customHeight="1">
      <c r="E254" s="5"/>
      <c r="F254" s="5"/>
    </row>
    <row r="255" ht="15.75" customHeight="1">
      <c r="E255" s="5"/>
      <c r="F255" s="5"/>
    </row>
    <row r="256" ht="15.75" customHeight="1">
      <c r="E256" s="5"/>
      <c r="F256" s="5"/>
    </row>
    <row r="257" ht="15.75" customHeight="1">
      <c r="E257" s="5"/>
      <c r="F257" s="5"/>
    </row>
    <row r="258" ht="15.75" customHeight="1">
      <c r="E258" s="5"/>
      <c r="F258" s="5"/>
    </row>
    <row r="259" ht="15.75" customHeight="1">
      <c r="E259" s="5"/>
      <c r="F259" s="5"/>
    </row>
    <row r="260" ht="15.75" customHeight="1">
      <c r="E260" s="5"/>
      <c r="F260" s="5"/>
    </row>
    <row r="261" ht="15.75" customHeight="1">
      <c r="E261" s="5"/>
      <c r="F261" s="5"/>
    </row>
    <row r="262" ht="15.75" customHeight="1">
      <c r="E262" s="5"/>
      <c r="F262" s="5"/>
    </row>
    <row r="263" ht="15.75" customHeight="1">
      <c r="E263" s="5"/>
      <c r="F263" s="5"/>
    </row>
    <row r="264" ht="15.75" customHeight="1">
      <c r="E264" s="5"/>
      <c r="F264" s="5"/>
    </row>
    <row r="265" ht="15.75" customHeight="1">
      <c r="E265" s="5"/>
      <c r="F265" s="5"/>
    </row>
    <row r="266" ht="15.75" customHeight="1">
      <c r="E266" s="5"/>
      <c r="F266" s="5"/>
    </row>
    <row r="267" ht="15.75" customHeight="1">
      <c r="E267" s="5"/>
      <c r="F267" s="5"/>
    </row>
    <row r="268" ht="15.75" customHeight="1">
      <c r="E268" s="5"/>
      <c r="F268" s="5"/>
    </row>
    <row r="269" ht="15.75" customHeight="1">
      <c r="E269" s="5"/>
      <c r="F269" s="5"/>
    </row>
    <row r="270" ht="15.75" customHeight="1">
      <c r="E270" s="5"/>
      <c r="F270" s="5"/>
    </row>
    <row r="271" ht="15.75" customHeight="1">
      <c r="E271" s="5"/>
      <c r="F271" s="5"/>
    </row>
    <row r="272" ht="15.75" customHeight="1">
      <c r="E272" s="5"/>
      <c r="F272" s="5"/>
    </row>
    <row r="273" ht="15.75" customHeight="1">
      <c r="E273" s="5"/>
      <c r="F273" s="5"/>
    </row>
    <row r="274" ht="15.75" customHeight="1">
      <c r="E274" s="5"/>
      <c r="F274" s="5"/>
    </row>
    <row r="275" ht="15.75" customHeight="1">
      <c r="E275" s="5"/>
      <c r="F275" s="5"/>
    </row>
    <row r="276" ht="15.75" customHeight="1">
      <c r="E276" s="5"/>
      <c r="F276" s="5"/>
    </row>
    <row r="277" ht="15.75" customHeight="1">
      <c r="E277" s="5"/>
      <c r="F277" s="5"/>
    </row>
    <row r="278" ht="15.75" customHeight="1">
      <c r="E278" s="5"/>
      <c r="F278" s="5"/>
    </row>
    <row r="279" ht="15.75" customHeight="1">
      <c r="E279" s="5"/>
      <c r="F279" s="5"/>
    </row>
    <row r="280" ht="15.75" customHeight="1">
      <c r="E280" s="5"/>
      <c r="F280" s="5"/>
    </row>
    <row r="281" ht="15.75" customHeight="1">
      <c r="E281" s="5"/>
      <c r="F281" s="5"/>
    </row>
    <row r="282" ht="15.75" customHeight="1">
      <c r="E282" s="5"/>
      <c r="F282" s="5"/>
    </row>
    <row r="283" ht="15.75" customHeight="1">
      <c r="E283" s="5"/>
      <c r="F283" s="5"/>
    </row>
    <row r="284" ht="15.75" customHeight="1">
      <c r="E284" s="5"/>
      <c r="F284" s="5"/>
    </row>
    <row r="285" ht="15.75" customHeight="1">
      <c r="E285" s="5"/>
      <c r="F285" s="5"/>
    </row>
    <row r="286" ht="15.75" customHeight="1">
      <c r="E286" s="5"/>
      <c r="F286" s="5"/>
    </row>
    <row r="287" ht="15.75" customHeight="1">
      <c r="E287" s="5"/>
      <c r="F287" s="5"/>
    </row>
    <row r="288" ht="15.75" customHeight="1">
      <c r="E288" s="5"/>
      <c r="F288" s="5"/>
    </row>
    <row r="289" ht="15.75" customHeight="1">
      <c r="E289" s="5"/>
      <c r="F289" s="5"/>
    </row>
    <row r="290" ht="15.75" customHeight="1">
      <c r="E290" s="5"/>
      <c r="F290" s="5"/>
    </row>
    <row r="291" ht="15.75" customHeight="1">
      <c r="E291" s="5"/>
      <c r="F291" s="5"/>
    </row>
    <row r="292" ht="15.75" customHeight="1">
      <c r="E292" s="5"/>
      <c r="F292" s="5"/>
    </row>
    <row r="293" ht="15.75" customHeight="1">
      <c r="E293" s="5"/>
      <c r="F293" s="5"/>
    </row>
    <row r="294" ht="15.75" customHeight="1">
      <c r="E294" s="5"/>
      <c r="F294" s="5"/>
    </row>
    <row r="295" ht="15.75" customHeight="1">
      <c r="E295" s="5"/>
      <c r="F295" s="5"/>
    </row>
    <row r="296" ht="15.75" customHeight="1">
      <c r="E296" s="5"/>
      <c r="F296" s="5"/>
    </row>
    <row r="297" ht="15.75" customHeight="1">
      <c r="E297" s="5"/>
      <c r="F297" s="5"/>
    </row>
    <row r="298" ht="15.75" customHeight="1">
      <c r="E298" s="5"/>
      <c r="F298" s="5"/>
    </row>
    <row r="299" ht="15.75" customHeight="1">
      <c r="E299" s="5"/>
      <c r="F299" s="5"/>
    </row>
    <row r="300" ht="15.75" customHeight="1">
      <c r="E300" s="5"/>
      <c r="F300" s="5"/>
    </row>
    <row r="301" ht="15.75" customHeight="1">
      <c r="E301" s="5"/>
      <c r="F301" s="5"/>
    </row>
    <row r="302" ht="15.75" customHeight="1">
      <c r="E302" s="5"/>
      <c r="F302" s="5"/>
    </row>
    <row r="303" ht="15.75" customHeight="1">
      <c r="E303" s="5"/>
      <c r="F303" s="5"/>
    </row>
    <row r="304" ht="15.75" customHeight="1">
      <c r="E304" s="5"/>
      <c r="F304" s="5"/>
    </row>
    <row r="305" ht="15.75" customHeight="1">
      <c r="E305" s="5"/>
      <c r="F305" s="5"/>
    </row>
    <row r="306" ht="15.75" customHeight="1">
      <c r="E306" s="5"/>
      <c r="F306" s="5"/>
    </row>
    <row r="307" ht="15.75" customHeight="1">
      <c r="E307" s="5"/>
      <c r="F307" s="5"/>
    </row>
    <row r="308" ht="15.75" customHeight="1">
      <c r="E308" s="5"/>
      <c r="F308" s="5"/>
    </row>
    <row r="309" ht="15.75" customHeight="1">
      <c r="E309" s="5"/>
      <c r="F309" s="5"/>
    </row>
    <row r="310" ht="15.75" customHeight="1">
      <c r="E310" s="5"/>
      <c r="F310" s="5"/>
    </row>
    <row r="311" ht="15.75" customHeight="1">
      <c r="E311" s="5"/>
      <c r="F311" s="5"/>
    </row>
    <row r="312" ht="15.75" customHeight="1">
      <c r="E312" s="5"/>
      <c r="F312" s="5"/>
    </row>
    <row r="313" ht="15.75" customHeight="1">
      <c r="E313" s="5"/>
      <c r="F313" s="5"/>
    </row>
    <row r="314" ht="15.75" customHeight="1">
      <c r="E314" s="5"/>
      <c r="F314" s="5"/>
    </row>
    <row r="315" ht="15.75" customHeight="1">
      <c r="E315" s="5"/>
      <c r="F315" s="5"/>
    </row>
    <row r="316" ht="15.75" customHeight="1">
      <c r="E316" s="5"/>
      <c r="F316" s="5"/>
    </row>
    <row r="317" ht="15.75" customHeight="1">
      <c r="E317" s="5"/>
      <c r="F317" s="5"/>
    </row>
    <row r="318" ht="15.75" customHeight="1">
      <c r="E318" s="5"/>
      <c r="F318" s="5"/>
    </row>
    <row r="319" ht="15.75" customHeight="1">
      <c r="E319" s="5"/>
      <c r="F319" s="5"/>
    </row>
    <row r="320" ht="15.75" customHeight="1">
      <c r="E320" s="5"/>
      <c r="F320" s="5"/>
    </row>
    <row r="321" ht="15.75" customHeight="1">
      <c r="E321" s="5"/>
      <c r="F321" s="5"/>
    </row>
    <row r="322" ht="15.75" customHeight="1">
      <c r="E322" s="5"/>
      <c r="F322" s="5"/>
    </row>
    <row r="323" ht="15.75" customHeight="1">
      <c r="E323" s="5"/>
      <c r="F323" s="5"/>
    </row>
    <row r="324" ht="15.75" customHeight="1">
      <c r="E324" s="5"/>
      <c r="F324" s="5"/>
    </row>
    <row r="325" ht="15.75" customHeight="1">
      <c r="E325" s="5"/>
      <c r="F325" s="5"/>
    </row>
    <row r="326" ht="15.75" customHeight="1">
      <c r="E326" s="5"/>
      <c r="F326" s="5"/>
    </row>
    <row r="327" ht="15.75" customHeight="1">
      <c r="E327" s="5"/>
      <c r="F327" s="5"/>
    </row>
    <row r="328" ht="15.75" customHeight="1">
      <c r="E328" s="5"/>
      <c r="F328" s="5"/>
    </row>
    <row r="329" ht="15.75" customHeight="1">
      <c r="E329" s="5"/>
      <c r="F329" s="5"/>
    </row>
    <row r="330" ht="15.75" customHeight="1">
      <c r="E330" s="5"/>
      <c r="F330" s="5"/>
    </row>
    <row r="331" ht="15.75" customHeight="1">
      <c r="E331" s="5"/>
      <c r="F331" s="5"/>
    </row>
    <row r="332" ht="15.75" customHeight="1">
      <c r="E332" s="5"/>
      <c r="F332" s="5"/>
    </row>
    <row r="333" ht="15.75" customHeight="1">
      <c r="E333" s="5"/>
      <c r="F333" s="5"/>
    </row>
    <row r="334" ht="15.75" customHeight="1">
      <c r="E334" s="5"/>
      <c r="F334" s="5"/>
    </row>
    <row r="335" ht="15.75" customHeight="1">
      <c r="E335" s="5"/>
      <c r="F335" s="5"/>
    </row>
    <row r="336" ht="15.75" customHeight="1">
      <c r="E336" s="5"/>
      <c r="F336" s="5"/>
    </row>
    <row r="337" ht="15.75" customHeight="1">
      <c r="E337" s="5"/>
      <c r="F337" s="5"/>
    </row>
    <row r="338" ht="15.75" customHeight="1">
      <c r="E338" s="5"/>
      <c r="F338" s="5"/>
    </row>
    <row r="339" ht="15.75" customHeight="1">
      <c r="E339" s="5"/>
      <c r="F339" s="5"/>
    </row>
    <row r="340" ht="15.75" customHeight="1">
      <c r="E340" s="5"/>
      <c r="F340" s="5"/>
    </row>
    <row r="341" ht="15.75" customHeight="1">
      <c r="E341" s="5"/>
      <c r="F341" s="5"/>
    </row>
    <row r="342" ht="15.75" customHeight="1">
      <c r="E342" s="5"/>
      <c r="F342" s="5"/>
    </row>
    <row r="343" ht="15.75" customHeight="1">
      <c r="E343" s="5"/>
      <c r="F343" s="5"/>
    </row>
    <row r="344" ht="15.75" customHeight="1">
      <c r="E344" s="5"/>
      <c r="F344" s="5"/>
    </row>
    <row r="345" ht="15.75" customHeight="1">
      <c r="E345" s="5"/>
      <c r="F345" s="5"/>
    </row>
    <row r="346" ht="15.75" customHeight="1">
      <c r="E346" s="5"/>
      <c r="F346" s="5"/>
    </row>
    <row r="347" ht="15.75" customHeight="1">
      <c r="E347" s="5"/>
      <c r="F347" s="5"/>
    </row>
    <row r="348" ht="15.75" customHeight="1">
      <c r="E348" s="5"/>
      <c r="F348" s="5"/>
    </row>
    <row r="349" ht="15.75" customHeight="1">
      <c r="E349" s="5"/>
      <c r="F349" s="5"/>
    </row>
    <row r="350" ht="15.75" customHeight="1">
      <c r="E350" s="5"/>
      <c r="F350" s="5"/>
    </row>
    <row r="351" ht="15.75" customHeight="1">
      <c r="E351" s="5"/>
      <c r="F351" s="5"/>
    </row>
    <row r="352" ht="15.75" customHeight="1">
      <c r="E352" s="5"/>
      <c r="F352" s="5"/>
    </row>
    <row r="353" ht="15.75" customHeight="1">
      <c r="E353" s="5"/>
      <c r="F353" s="5"/>
    </row>
    <row r="354" ht="15.75" customHeight="1">
      <c r="E354" s="5"/>
      <c r="F354" s="5"/>
    </row>
    <row r="355" ht="15.75" customHeight="1">
      <c r="E355" s="5"/>
      <c r="F355" s="5"/>
    </row>
    <row r="356" ht="15.75" customHeight="1">
      <c r="E356" s="5"/>
      <c r="F356" s="5"/>
    </row>
    <row r="357" ht="15.75" customHeight="1">
      <c r="E357" s="5"/>
      <c r="F357" s="5"/>
    </row>
    <row r="358" ht="15.75" customHeight="1">
      <c r="E358" s="5"/>
      <c r="F358" s="5"/>
    </row>
    <row r="359" ht="15.75" customHeight="1">
      <c r="E359" s="5"/>
      <c r="F359" s="5"/>
    </row>
    <row r="360" ht="15.75" customHeight="1">
      <c r="E360" s="5"/>
      <c r="F360" s="5"/>
    </row>
    <row r="361" ht="15.75" customHeight="1">
      <c r="E361" s="5"/>
      <c r="F361" s="5"/>
    </row>
    <row r="362" ht="15.75" customHeight="1">
      <c r="E362" s="5"/>
      <c r="F362" s="5"/>
    </row>
    <row r="363" ht="15.75" customHeight="1">
      <c r="E363" s="5"/>
      <c r="F363" s="5"/>
    </row>
    <row r="364" ht="15.75" customHeight="1">
      <c r="E364" s="5"/>
      <c r="F364" s="5"/>
    </row>
    <row r="365" ht="15.75" customHeight="1">
      <c r="E365" s="5"/>
      <c r="F365" s="5"/>
    </row>
    <row r="366" ht="15.75" customHeight="1">
      <c r="E366" s="5"/>
      <c r="F366" s="5"/>
    </row>
    <row r="367" ht="15.75" customHeight="1">
      <c r="E367" s="5"/>
      <c r="F367" s="5"/>
    </row>
    <row r="368" ht="15.75" customHeight="1">
      <c r="E368" s="5"/>
      <c r="F368" s="5"/>
    </row>
    <row r="369" ht="15.75" customHeight="1">
      <c r="E369" s="5"/>
      <c r="F369" s="5"/>
    </row>
    <row r="370" ht="15.75" customHeight="1">
      <c r="E370" s="5"/>
      <c r="F370" s="5"/>
    </row>
    <row r="371" ht="15.75" customHeight="1">
      <c r="E371" s="5"/>
      <c r="F371" s="5"/>
    </row>
    <row r="372" ht="15.75" customHeight="1">
      <c r="E372" s="5"/>
      <c r="F372" s="5"/>
    </row>
    <row r="373" ht="15.75" customHeight="1">
      <c r="E373" s="5"/>
      <c r="F373" s="5"/>
    </row>
    <row r="374" ht="15.75" customHeight="1">
      <c r="E374" s="5"/>
      <c r="F374" s="5"/>
    </row>
    <row r="375" ht="15.75" customHeight="1">
      <c r="E375" s="5"/>
      <c r="F375" s="5"/>
    </row>
    <row r="376" ht="15.75" customHeight="1">
      <c r="E376" s="5"/>
      <c r="F376" s="5"/>
    </row>
    <row r="377" ht="15.75" customHeight="1">
      <c r="E377" s="5"/>
      <c r="F377" s="5"/>
    </row>
    <row r="378" ht="15.75" customHeight="1">
      <c r="E378" s="5"/>
      <c r="F378" s="5"/>
    </row>
    <row r="379" ht="15.75" customHeight="1">
      <c r="E379" s="5"/>
      <c r="F379" s="5"/>
    </row>
    <row r="380" ht="15.75" customHeight="1">
      <c r="E380" s="5"/>
      <c r="F380" s="5"/>
    </row>
    <row r="381" ht="15.75" customHeight="1">
      <c r="E381" s="5"/>
      <c r="F381" s="5"/>
    </row>
    <row r="382" ht="15.75" customHeight="1">
      <c r="E382" s="5"/>
      <c r="F382" s="5"/>
    </row>
    <row r="383" ht="15.75" customHeight="1">
      <c r="E383" s="5"/>
      <c r="F383" s="5"/>
    </row>
    <row r="384" ht="15.75" customHeight="1">
      <c r="E384" s="5"/>
      <c r="F384" s="5"/>
    </row>
    <row r="385" ht="15.75" customHeight="1">
      <c r="E385" s="5"/>
      <c r="F385" s="5"/>
    </row>
    <row r="386" ht="15.75" customHeight="1">
      <c r="E386" s="5"/>
      <c r="F386" s="5"/>
    </row>
    <row r="387" ht="15.75" customHeight="1">
      <c r="E387" s="5"/>
      <c r="F387" s="5"/>
    </row>
    <row r="388" ht="15.75" customHeight="1">
      <c r="E388" s="5"/>
      <c r="F388" s="5"/>
    </row>
    <row r="389" ht="15.75" customHeight="1">
      <c r="E389" s="5"/>
      <c r="F389" s="5"/>
    </row>
    <row r="390" ht="15.75" customHeight="1">
      <c r="E390" s="5"/>
      <c r="F390" s="5"/>
    </row>
    <row r="391" ht="15.75" customHeight="1">
      <c r="E391" s="5"/>
      <c r="F391" s="5"/>
    </row>
    <row r="392" ht="15.75" customHeight="1">
      <c r="E392" s="5"/>
      <c r="F392" s="5"/>
    </row>
    <row r="393" ht="15.75" customHeight="1">
      <c r="E393" s="5"/>
      <c r="F393" s="5"/>
    </row>
    <row r="394" ht="15.75" customHeight="1">
      <c r="E394" s="5"/>
      <c r="F394" s="5"/>
    </row>
    <row r="395" ht="15.75" customHeight="1">
      <c r="E395" s="5"/>
      <c r="F395" s="5"/>
    </row>
    <row r="396" ht="15.75" customHeight="1">
      <c r="E396" s="5"/>
      <c r="F396" s="5"/>
    </row>
    <row r="397" ht="15.75" customHeight="1">
      <c r="E397" s="5"/>
      <c r="F397" s="5"/>
    </row>
    <row r="398" ht="15.75" customHeight="1">
      <c r="E398" s="5"/>
      <c r="F398" s="5"/>
    </row>
    <row r="399" ht="15.75" customHeight="1">
      <c r="E399" s="5"/>
      <c r="F399" s="5"/>
    </row>
    <row r="400" ht="15.75" customHeight="1">
      <c r="E400" s="5"/>
      <c r="F400" s="5"/>
    </row>
    <row r="401" ht="15.75" customHeight="1">
      <c r="E401" s="5"/>
      <c r="F401" s="5"/>
    </row>
    <row r="402" ht="15.75" customHeight="1">
      <c r="E402" s="5"/>
      <c r="F402" s="5"/>
    </row>
    <row r="403" ht="15.75" customHeight="1">
      <c r="E403" s="5"/>
      <c r="F403" s="5"/>
    </row>
    <row r="404" ht="15.75" customHeight="1">
      <c r="E404" s="5"/>
      <c r="F404" s="5"/>
    </row>
    <row r="405" ht="15.75" customHeight="1">
      <c r="E405" s="5"/>
      <c r="F405" s="5"/>
    </row>
    <row r="406" ht="15.75" customHeight="1">
      <c r="E406" s="5"/>
      <c r="F406" s="5"/>
    </row>
    <row r="407" ht="15.75" customHeight="1">
      <c r="E407" s="5"/>
      <c r="F407" s="5"/>
    </row>
    <row r="408" ht="15.75" customHeight="1">
      <c r="E408" s="5"/>
      <c r="F408" s="5"/>
    </row>
    <row r="409" ht="15.75" customHeight="1">
      <c r="E409" s="5"/>
      <c r="F409" s="5"/>
    </row>
    <row r="410" ht="15.75" customHeight="1">
      <c r="E410" s="5"/>
      <c r="F410" s="5"/>
    </row>
    <row r="411" ht="15.75" customHeight="1">
      <c r="E411" s="5"/>
      <c r="F411" s="5"/>
    </row>
    <row r="412" ht="15.75" customHeight="1">
      <c r="E412" s="5"/>
      <c r="F412" s="5"/>
    </row>
    <row r="413" ht="15.75" customHeight="1">
      <c r="E413" s="5"/>
      <c r="F413" s="5"/>
    </row>
    <row r="414" ht="15.75" customHeight="1">
      <c r="E414" s="5"/>
      <c r="F414" s="5"/>
    </row>
    <row r="415" ht="15.75" customHeight="1">
      <c r="E415" s="5"/>
      <c r="F415" s="5"/>
    </row>
    <row r="416" ht="15.75" customHeight="1">
      <c r="E416" s="5"/>
      <c r="F416" s="5"/>
    </row>
    <row r="417" ht="15.75" customHeight="1">
      <c r="E417" s="5"/>
      <c r="F417" s="5"/>
    </row>
    <row r="418" ht="15.75" customHeight="1">
      <c r="E418" s="5"/>
      <c r="F418" s="5"/>
    </row>
    <row r="419" ht="15.75" customHeight="1">
      <c r="E419" s="5"/>
      <c r="F419" s="5"/>
    </row>
    <row r="420" ht="15.75" customHeight="1">
      <c r="E420" s="5"/>
      <c r="F420" s="5"/>
    </row>
    <row r="421" ht="15.75" customHeight="1">
      <c r="E421" s="5"/>
      <c r="F421" s="5"/>
    </row>
    <row r="422" ht="15.75" customHeight="1">
      <c r="E422" s="5"/>
      <c r="F422" s="5"/>
    </row>
    <row r="423" ht="15.75" customHeight="1">
      <c r="E423" s="5"/>
      <c r="F423" s="5"/>
    </row>
    <row r="424" ht="15.75" customHeight="1">
      <c r="E424" s="5"/>
      <c r="F424" s="5"/>
    </row>
    <row r="425" ht="15.75" customHeight="1">
      <c r="E425" s="5"/>
      <c r="F425" s="5"/>
    </row>
    <row r="426" ht="15.75" customHeight="1">
      <c r="E426" s="5"/>
      <c r="F426" s="5"/>
    </row>
    <row r="427" ht="15.75" customHeight="1">
      <c r="E427" s="5"/>
      <c r="F427" s="5"/>
    </row>
    <row r="428" ht="15.75" customHeight="1">
      <c r="E428" s="5"/>
      <c r="F428" s="5"/>
    </row>
    <row r="429" ht="15.75" customHeight="1">
      <c r="E429" s="5"/>
      <c r="F429" s="5"/>
    </row>
    <row r="430" ht="15.75" customHeight="1">
      <c r="E430" s="5"/>
      <c r="F430" s="5"/>
    </row>
    <row r="431" ht="15.75" customHeight="1">
      <c r="E431" s="5"/>
      <c r="F431" s="5"/>
    </row>
    <row r="432" ht="15.75" customHeight="1">
      <c r="E432" s="5"/>
      <c r="F432" s="5"/>
    </row>
    <row r="433" ht="15.75" customHeight="1">
      <c r="E433" s="5"/>
      <c r="F433" s="5"/>
    </row>
    <row r="434" ht="15.75" customHeight="1">
      <c r="E434" s="5"/>
      <c r="F434" s="5"/>
    </row>
    <row r="435" ht="15.75" customHeight="1">
      <c r="E435" s="5"/>
      <c r="F435" s="5"/>
    </row>
    <row r="436" ht="15.75" customHeight="1">
      <c r="E436" s="5"/>
      <c r="F436" s="5"/>
    </row>
    <row r="437" ht="15.75" customHeight="1">
      <c r="E437" s="5"/>
      <c r="F437" s="5"/>
    </row>
    <row r="438" ht="15.75" customHeight="1">
      <c r="E438" s="5"/>
      <c r="F438" s="5"/>
    </row>
    <row r="439" ht="15.75" customHeight="1">
      <c r="E439" s="5"/>
      <c r="F439" s="5"/>
    </row>
    <row r="440" ht="15.75" customHeight="1">
      <c r="E440" s="5"/>
      <c r="F440" s="5"/>
    </row>
    <row r="441" ht="15.75" customHeight="1">
      <c r="E441" s="5"/>
      <c r="F441" s="5"/>
    </row>
    <row r="442" ht="15.75" customHeight="1">
      <c r="E442" s="5"/>
      <c r="F442" s="5"/>
    </row>
    <row r="443" ht="15.75" customHeight="1">
      <c r="E443" s="5"/>
      <c r="F443" s="5"/>
    </row>
    <row r="444" ht="15.75" customHeight="1">
      <c r="E444" s="5"/>
      <c r="F444" s="5"/>
    </row>
    <row r="445" ht="15.75" customHeight="1">
      <c r="E445" s="5"/>
      <c r="F445" s="5"/>
    </row>
    <row r="446" ht="15.75" customHeight="1">
      <c r="E446" s="5"/>
      <c r="F446" s="5"/>
    </row>
    <row r="447" ht="15.75" customHeight="1">
      <c r="E447" s="5"/>
      <c r="F447" s="5"/>
    </row>
    <row r="448" ht="15.75" customHeight="1">
      <c r="E448" s="5"/>
      <c r="F448" s="5"/>
    </row>
    <row r="449" ht="15.75" customHeight="1">
      <c r="E449" s="5"/>
      <c r="F449" s="5"/>
    </row>
    <row r="450" ht="15.75" customHeight="1">
      <c r="E450" s="5"/>
      <c r="F450" s="5"/>
    </row>
    <row r="451" ht="15.75" customHeight="1">
      <c r="E451" s="5"/>
      <c r="F451" s="5"/>
    </row>
    <row r="452" ht="15.75" customHeight="1">
      <c r="E452" s="5"/>
      <c r="F452" s="5"/>
    </row>
    <row r="453" ht="15.75" customHeight="1">
      <c r="E453" s="5"/>
      <c r="F453" s="5"/>
    </row>
    <row r="454" ht="15.75" customHeight="1">
      <c r="E454" s="5"/>
      <c r="F454" s="5"/>
    </row>
    <row r="455" ht="15.75" customHeight="1">
      <c r="E455" s="5"/>
      <c r="F455" s="5"/>
    </row>
    <row r="456" ht="15.75" customHeight="1">
      <c r="E456" s="5"/>
      <c r="F456" s="5"/>
    </row>
    <row r="457" ht="15.75" customHeight="1">
      <c r="E457" s="5"/>
      <c r="F457" s="5"/>
    </row>
    <row r="458" ht="15.75" customHeight="1">
      <c r="E458" s="5"/>
      <c r="F458" s="5"/>
    </row>
    <row r="459" ht="15.75" customHeight="1">
      <c r="E459" s="5"/>
      <c r="F459" s="5"/>
    </row>
    <row r="460" ht="15.75" customHeight="1">
      <c r="E460" s="5"/>
      <c r="F460" s="5"/>
    </row>
    <row r="461" ht="15.75" customHeight="1">
      <c r="E461" s="5"/>
      <c r="F461" s="5"/>
    </row>
    <row r="462" ht="15.75" customHeight="1">
      <c r="E462" s="5"/>
      <c r="F462" s="5"/>
    </row>
    <row r="463" ht="15.75" customHeight="1">
      <c r="E463" s="5"/>
      <c r="F463" s="5"/>
    </row>
    <row r="464" ht="15.75" customHeight="1">
      <c r="E464" s="5"/>
      <c r="F464" s="5"/>
    </row>
    <row r="465" ht="15.75" customHeight="1">
      <c r="E465" s="5"/>
      <c r="F465" s="5"/>
    </row>
    <row r="466" ht="15.75" customHeight="1">
      <c r="E466" s="5"/>
      <c r="F466" s="5"/>
    </row>
    <row r="467" ht="15.75" customHeight="1">
      <c r="E467" s="5"/>
      <c r="F467" s="5"/>
    </row>
    <row r="468" ht="15.75" customHeight="1">
      <c r="E468" s="5"/>
      <c r="F468" s="5"/>
    </row>
    <row r="469" ht="15.75" customHeight="1">
      <c r="E469" s="5"/>
      <c r="F469" s="5"/>
    </row>
    <row r="470" ht="15.75" customHeight="1">
      <c r="E470" s="5"/>
      <c r="F470" s="5"/>
    </row>
    <row r="471" ht="15.75" customHeight="1">
      <c r="E471" s="5"/>
      <c r="F471" s="5"/>
    </row>
    <row r="472" ht="15.75" customHeight="1">
      <c r="E472" s="5"/>
      <c r="F472" s="5"/>
    </row>
    <row r="473" ht="15.75" customHeight="1">
      <c r="E473" s="5"/>
      <c r="F473" s="5"/>
    </row>
    <row r="474" ht="15.75" customHeight="1">
      <c r="E474" s="5"/>
      <c r="F474" s="5"/>
    </row>
    <row r="475" ht="15.75" customHeight="1">
      <c r="E475" s="5"/>
      <c r="F475" s="5"/>
    </row>
    <row r="476" ht="15.75" customHeight="1">
      <c r="E476" s="5"/>
      <c r="F476" s="5"/>
    </row>
    <row r="477" ht="15.75" customHeight="1">
      <c r="E477" s="5"/>
      <c r="F477" s="5"/>
    </row>
    <row r="478" ht="15.75" customHeight="1">
      <c r="E478" s="5"/>
      <c r="F478" s="5"/>
    </row>
    <row r="479" ht="15.75" customHeight="1">
      <c r="E479" s="5"/>
      <c r="F479" s="5"/>
    </row>
    <row r="480" ht="15.75" customHeight="1">
      <c r="E480" s="5"/>
      <c r="F480" s="5"/>
    </row>
    <row r="481" ht="15.75" customHeight="1">
      <c r="E481" s="5"/>
      <c r="F481" s="5"/>
    </row>
    <row r="482" ht="15.75" customHeight="1">
      <c r="E482" s="5"/>
      <c r="F482" s="5"/>
    </row>
    <row r="483" ht="15.75" customHeight="1">
      <c r="E483" s="5"/>
      <c r="F483" s="5"/>
    </row>
    <row r="484" ht="15.75" customHeight="1">
      <c r="E484" s="5"/>
      <c r="F484" s="5"/>
    </row>
    <row r="485" ht="15.75" customHeight="1">
      <c r="E485" s="5"/>
      <c r="F485" s="5"/>
    </row>
    <row r="486" ht="15.75" customHeight="1">
      <c r="E486" s="5"/>
      <c r="F486" s="5"/>
    </row>
    <row r="487" ht="15.75" customHeight="1">
      <c r="E487" s="5"/>
      <c r="F487" s="5"/>
    </row>
    <row r="488" ht="15.75" customHeight="1">
      <c r="E488" s="5"/>
      <c r="F488" s="5"/>
    </row>
    <row r="489" ht="15.75" customHeight="1">
      <c r="E489" s="5"/>
      <c r="F489" s="5"/>
    </row>
    <row r="490" ht="15.75" customHeight="1">
      <c r="E490" s="5"/>
      <c r="F490" s="5"/>
    </row>
    <row r="491" ht="15.75" customHeight="1">
      <c r="E491" s="5"/>
      <c r="F491" s="5"/>
    </row>
    <row r="492" ht="15.75" customHeight="1">
      <c r="E492" s="5"/>
      <c r="F492" s="5"/>
    </row>
    <row r="493" ht="15.75" customHeight="1">
      <c r="E493" s="5"/>
      <c r="F493" s="5"/>
    </row>
    <row r="494" ht="15.75" customHeight="1">
      <c r="E494" s="5"/>
      <c r="F494" s="5"/>
    </row>
    <row r="495" ht="15.75" customHeight="1">
      <c r="E495" s="5"/>
      <c r="F495" s="5"/>
    </row>
    <row r="496" ht="15.75" customHeight="1">
      <c r="E496" s="5"/>
      <c r="F496" s="5"/>
    </row>
    <row r="497" ht="15.75" customHeight="1">
      <c r="E497" s="5"/>
      <c r="F497" s="5"/>
    </row>
    <row r="498" ht="15.75" customHeight="1">
      <c r="E498" s="5"/>
      <c r="F498" s="5"/>
    </row>
    <row r="499" ht="15.75" customHeight="1">
      <c r="E499" s="5"/>
      <c r="F499" s="5"/>
    </row>
    <row r="500" ht="15.75" customHeight="1">
      <c r="E500" s="5"/>
      <c r="F500" s="5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2:E500">
      <formula1>"CLO1,CLO2,CLO3,CLO4,CLO5"</formula1>
    </dataValidation>
    <dataValidation type="list" allowBlank="1" sqref="F2:F500">
      <formula1>"Exam,QuestionPaper,OtherEvidence"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7.5"/>
    <col customWidth="1" min="3" max="3" width="4.25"/>
    <col customWidth="1" min="4" max="4" width="5.0"/>
    <col customWidth="1" min="5" max="5" width="50.0"/>
    <col customWidth="1" min="6" max="6" width="13.25"/>
    <col customWidth="1" min="7" max="7" width="5.0"/>
    <col customWidth="1" min="8" max="8" width="6.5"/>
    <col customWidth="1" min="9" max="9" width="28.0"/>
    <col customWidth="1" min="10" max="10" width="13.0"/>
    <col customWidth="1" min="11" max="26" width="8.63"/>
  </cols>
  <sheetData>
    <row r="1" ht="27.75" customHeight="1">
      <c r="A1" s="19" t="s">
        <v>117</v>
      </c>
      <c r="B1" s="19" t="s">
        <v>118</v>
      </c>
      <c r="C1" s="19" t="s">
        <v>139</v>
      </c>
      <c r="D1" s="19" t="s">
        <v>140</v>
      </c>
      <c r="E1" s="19" t="s">
        <v>141</v>
      </c>
      <c r="F1" s="19" t="s">
        <v>246</v>
      </c>
      <c r="G1" s="19" t="s">
        <v>247</v>
      </c>
      <c r="H1" s="19" t="s">
        <v>123</v>
      </c>
      <c r="I1" s="19" t="s">
        <v>248</v>
      </c>
      <c r="J1" s="19" t="s">
        <v>249</v>
      </c>
    </row>
    <row r="2">
      <c r="A2" s="12">
        <v>2568.0</v>
      </c>
      <c r="B2" s="12" t="s">
        <v>13</v>
      </c>
      <c r="C2" s="12" t="s">
        <v>162</v>
      </c>
      <c r="D2" s="12" t="s">
        <v>163</v>
      </c>
      <c r="E2" s="12" t="s">
        <v>168</v>
      </c>
      <c r="F2" s="12" t="str">
        <f>IFERROR(AVERAGEIFS(CLO_Assessment!$M:$M,CLO_Assessment!$I:$I,D2,CLO_Assessment!$C:$C,A2,CLO_Assessment!$D:$D,B2),"")</f>
        <v/>
      </c>
      <c r="G2" s="12">
        <v>50.0</v>
      </c>
      <c r="H2" s="12" t="str">
        <f t="shared" ref="H2:H31" si="1">IF(F2="","No Data",IF(F2&gt;=G2,"Pass","Improve"))</f>
        <v>No Data</v>
      </c>
      <c r="I2" s="12">
        <f>COUNTIFS(CLO_Assessment!$I:$I,D2,CLO_Assessment!$C:$C,A2)</f>
        <v>0</v>
      </c>
      <c r="J2" s="12">
        <f>COUNTIFS(CLO_Assessment!$I:$I,D2,CLO_Assessment!$N:$N,"&lt;&gt;",CLO_Assessment!$O:$O,"&lt;&gt;")</f>
        <v>0</v>
      </c>
    </row>
    <row r="3">
      <c r="A3" s="12">
        <v>2568.0</v>
      </c>
      <c r="B3" s="12" t="s">
        <v>13</v>
      </c>
      <c r="C3" s="12" t="s">
        <v>162</v>
      </c>
      <c r="D3" s="12" t="s">
        <v>169</v>
      </c>
      <c r="E3" s="12" t="s">
        <v>170</v>
      </c>
      <c r="F3" s="12" t="str">
        <f>IFERROR(AVERAGEIFS(CLO_Assessment!$M:$M,CLO_Assessment!$I:$I,D3,CLO_Assessment!$C:$C,A3,CLO_Assessment!$D:$D,B3),"")</f>
        <v/>
      </c>
      <c r="G3" s="12">
        <v>50.0</v>
      </c>
      <c r="H3" s="12" t="str">
        <f t="shared" si="1"/>
        <v>No Data</v>
      </c>
      <c r="I3" s="12">
        <f>COUNTIFS(CLO_Assessment!$I:$I,D3,CLO_Assessment!$C:$C,A3)</f>
        <v>0</v>
      </c>
      <c r="J3" s="12">
        <f>COUNTIFS(CLO_Assessment!$I:$I,D3,CLO_Assessment!$N:$N,"&lt;&gt;",CLO_Assessment!$O:$O,"&lt;&gt;")</f>
        <v>0</v>
      </c>
    </row>
    <row r="4">
      <c r="A4" s="12">
        <v>2568.0</v>
      </c>
      <c r="B4" s="12" t="s">
        <v>13</v>
      </c>
      <c r="C4" s="12" t="s">
        <v>162</v>
      </c>
      <c r="D4" s="12" t="s">
        <v>171</v>
      </c>
      <c r="E4" s="12" t="s">
        <v>172</v>
      </c>
      <c r="F4" s="12" t="str">
        <f>IFERROR(AVERAGEIFS(CLO_Assessment!$M:$M,CLO_Assessment!$I:$I,D4,CLO_Assessment!$C:$C,A4,CLO_Assessment!$D:$D,B4),"")</f>
        <v/>
      </c>
      <c r="G4" s="12">
        <v>50.0</v>
      </c>
      <c r="H4" s="12" t="str">
        <f t="shared" si="1"/>
        <v>No Data</v>
      </c>
      <c r="I4" s="12">
        <f>COUNTIFS(CLO_Assessment!$I:$I,D4,CLO_Assessment!$C:$C,A4)</f>
        <v>0</v>
      </c>
      <c r="J4" s="12">
        <f>COUNTIFS(CLO_Assessment!$I:$I,D4,CLO_Assessment!$N:$N,"&lt;&gt;",CLO_Assessment!$O:$O,"&lt;&gt;")</f>
        <v>0</v>
      </c>
    </row>
    <row r="5">
      <c r="A5" s="12">
        <v>2568.0</v>
      </c>
      <c r="B5" s="12" t="s">
        <v>13</v>
      </c>
      <c r="C5" s="12" t="s">
        <v>162</v>
      </c>
      <c r="D5" s="12" t="s">
        <v>173</v>
      </c>
      <c r="E5" s="12" t="s">
        <v>174</v>
      </c>
      <c r="F5" s="12" t="str">
        <f>IFERROR(AVERAGEIFS(CLO_Assessment!$M:$M,CLO_Assessment!$I:$I,D5,CLO_Assessment!$C:$C,A5,CLO_Assessment!$D:$D,B5),"")</f>
        <v/>
      </c>
      <c r="G5" s="12">
        <v>50.0</v>
      </c>
      <c r="H5" s="12" t="str">
        <f t="shared" si="1"/>
        <v>No Data</v>
      </c>
      <c r="I5" s="12">
        <f>COUNTIFS(CLO_Assessment!$I:$I,D5,CLO_Assessment!$C:$C,A5)</f>
        <v>0</v>
      </c>
      <c r="J5" s="12">
        <f>COUNTIFS(CLO_Assessment!$I:$I,D5,CLO_Assessment!$N:$N,"&lt;&gt;",CLO_Assessment!$O:$O,"&lt;&gt;")</f>
        <v>0</v>
      </c>
    </row>
    <row r="6">
      <c r="A6" s="12">
        <v>2568.0</v>
      </c>
      <c r="B6" s="12" t="s">
        <v>13</v>
      </c>
      <c r="C6" s="12" t="s">
        <v>175</v>
      </c>
      <c r="D6" s="12" t="s">
        <v>176</v>
      </c>
      <c r="E6" s="12" t="s">
        <v>177</v>
      </c>
      <c r="F6" s="12" t="str">
        <f>IFERROR(AVERAGEIFS(CLO_Assessment!$M:$M,CLO_Assessment!$I:$I,D6,CLO_Assessment!$C:$C,A6,CLO_Assessment!$D:$D,B6),"")</f>
        <v/>
      </c>
      <c r="G6" s="12">
        <v>50.0</v>
      </c>
      <c r="H6" s="12" t="str">
        <f t="shared" si="1"/>
        <v>No Data</v>
      </c>
      <c r="I6" s="12">
        <f>COUNTIFS(CLO_Assessment!$I:$I,D6,CLO_Assessment!$C:$C,A6)</f>
        <v>0</v>
      </c>
      <c r="J6" s="12">
        <f>COUNTIFS(CLO_Assessment!$I:$I,D6,CLO_Assessment!$N:$N,"&lt;&gt;",CLO_Assessment!$O:$O,"&lt;&gt;")</f>
        <v>0</v>
      </c>
    </row>
    <row r="7">
      <c r="A7" s="12">
        <v>2568.0</v>
      </c>
      <c r="B7" s="12" t="s">
        <v>13</v>
      </c>
      <c r="C7" s="12" t="s">
        <v>175</v>
      </c>
      <c r="D7" s="12" t="s">
        <v>178</v>
      </c>
      <c r="E7" s="12" t="s">
        <v>179</v>
      </c>
      <c r="F7" s="12" t="str">
        <f>IFERROR(AVERAGEIFS(CLO_Assessment!$M:$M,CLO_Assessment!$I:$I,D7,CLO_Assessment!$C:$C,A7,CLO_Assessment!$D:$D,B7),"")</f>
        <v/>
      </c>
      <c r="G7" s="12">
        <v>50.0</v>
      </c>
      <c r="H7" s="12" t="str">
        <f t="shared" si="1"/>
        <v>No Data</v>
      </c>
      <c r="I7" s="12">
        <f>COUNTIFS(CLO_Assessment!$I:$I,D7,CLO_Assessment!$C:$C,A7)</f>
        <v>0</v>
      </c>
      <c r="J7" s="12">
        <f>COUNTIFS(CLO_Assessment!$I:$I,D7,CLO_Assessment!$N:$N,"&lt;&gt;",CLO_Assessment!$O:$O,"&lt;&gt;")</f>
        <v>0</v>
      </c>
    </row>
    <row r="8">
      <c r="A8" s="12">
        <v>2568.0</v>
      </c>
      <c r="B8" s="12" t="s">
        <v>13</v>
      </c>
      <c r="C8" s="12" t="s">
        <v>175</v>
      </c>
      <c r="D8" s="12" t="s">
        <v>180</v>
      </c>
      <c r="E8" s="12" t="s">
        <v>181</v>
      </c>
      <c r="F8" s="12" t="str">
        <f>IFERROR(AVERAGEIFS(CLO_Assessment!$M:$M,CLO_Assessment!$I:$I,D8,CLO_Assessment!$C:$C,A8,CLO_Assessment!$D:$D,B8),"")</f>
        <v/>
      </c>
      <c r="G8" s="12">
        <v>50.0</v>
      </c>
      <c r="H8" s="12" t="str">
        <f t="shared" si="1"/>
        <v>No Data</v>
      </c>
      <c r="I8" s="12">
        <f>COUNTIFS(CLO_Assessment!$I:$I,D8,CLO_Assessment!$C:$C,A8)</f>
        <v>0</v>
      </c>
      <c r="J8" s="12">
        <f>COUNTIFS(CLO_Assessment!$I:$I,D8,CLO_Assessment!$N:$N,"&lt;&gt;",CLO_Assessment!$O:$O,"&lt;&gt;")</f>
        <v>0</v>
      </c>
    </row>
    <row r="9">
      <c r="A9" s="12">
        <v>2568.0</v>
      </c>
      <c r="B9" s="12" t="s">
        <v>13</v>
      </c>
      <c r="C9" s="12" t="s">
        <v>175</v>
      </c>
      <c r="D9" s="12" t="s">
        <v>182</v>
      </c>
      <c r="E9" s="12" t="s">
        <v>183</v>
      </c>
      <c r="F9" s="12" t="str">
        <f>IFERROR(AVERAGEIFS(CLO_Assessment!$M:$M,CLO_Assessment!$I:$I,D9,CLO_Assessment!$C:$C,A9,CLO_Assessment!$D:$D,B9),"")</f>
        <v/>
      </c>
      <c r="G9" s="12">
        <v>50.0</v>
      </c>
      <c r="H9" s="12" t="str">
        <f t="shared" si="1"/>
        <v>No Data</v>
      </c>
      <c r="I9" s="12">
        <f>COUNTIFS(CLO_Assessment!$I:$I,D9,CLO_Assessment!$C:$C,A9)</f>
        <v>0</v>
      </c>
      <c r="J9" s="12">
        <f>COUNTIFS(CLO_Assessment!$I:$I,D9,CLO_Assessment!$N:$N,"&lt;&gt;",CLO_Assessment!$O:$O,"&lt;&gt;")</f>
        <v>0</v>
      </c>
    </row>
    <row r="10">
      <c r="A10" s="12">
        <v>2568.0</v>
      </c>
      <c r="B10" s="12" t="s">
        <v>13</v>
      </c>
      <c r="C10" s="12" t="s">
        <v>184</v>
      </c>
      <c r="D10" s="12" t="s">
        <v>185</v>
      </c>
      <c r="E10" s="12" t="s">
        <v>186</v>
      </c>
      <c r="F10" s="12" t="str">
        <f>IFERROR(AVERAGEIFS(CLO_Assessment!$M:$M,CLO_Assessment!$I:$I,D10,CLO_Assessment!$C:$C,A10,CLO_Assessment!$D:$D,B10),"")</f>
        <v/>
      </c>
      <c r="G10" s="12">
        <v>50.0</v>
      </c>
      <c r="H10" s="12" t="str">
        <f t="shared" si="1"/>
        <v>No Data</v>
      </c>
      <c r="I10" s="12">
        <f>COUNTIFS(CLO_Assessment!$I:$I,D10,CLO_Assessment!$C:$C,A10)</f>
        <v>0</v>
      </c>
      <c r="J10" s="12">
        <f>COUNTIFS(CLO_Assessment!$I:$I,D10,CLO_Assessment!$N:$N,"&lt;&gt;",CLO_Assessment!$O:$O,"&lt;&gt;")</f>
        <v>0</v>
      </c>
    </row>
    <row r="11">
      <c r="A11" s="12">
        <v>2568.0</v>
      </c>
      <c r="B11" s="12" t="s">
        <v>13</v>
      </c>
      <c r="C11" s="12" t="s">
        <v>184</v>
      </c>
      <c r="D11" s="12" t="s">
        <v>187</v>
      </c>
      <c r="E11" s="12" t="s">
        <v>188</v>
      </c>
      <c r="F11" s="12" t="str">
        <f>IFERROR(AVERAGEIFS(CLO_Assessment!$M:$M,CLO_Assessment!$I:$I,D11,CLO_Assessment!$C:$C,A11,CLO_Assessment!$D:$D,B11),"")</f>
        <v/>
      </c>
      <c r="G11" s="12">
        <v>50.0</v>
      </c>
      <c r="H11" s="12" t="str">
        <f t="shared" si="1"/>
        <v>No Data</v>
      </c>
      <c r="I11" s="12">
        <f>COUNTIFS(CLO_Assessment!$I:$I,D11,CLO_Assessment!$C:$C,A11)</f>
        <v>0</v>
      </c>
      <c r="J11" s="12">
        <f>COUNTIFS(CLO_Assessment!$I:$I,D11,CLO_Assessment!$N:$N,"&lt;&gt;",CLO_Assessment!$O:$O,"&lt;&gt;")</f>
        <v>0</v>
      </c>
    </row>
    <row r="12">
      <c r="A12" s="12">
        <v>2568.0</v>
      </c>
      <c r="B12" s="12" t="s">
        <v>13</v>
      </c>
      <c r="C12" s="12" t="s">
        <v>184</v>
      </c>
      <c r="D12" s="12" t="s">
        <v>189</v>
      </c>
      <c r="E12" s="12" t="s">
        <v>190</v>
      </c>
      <c r="F12" s="12" t="str">
        <f>IFERROR(AVERAGEIFS(CLO_Assessment!$M:$M,CLO_Assessment!$I:$I,D12,CLO_Assessment!$C:$C,A12,CLO_Assessment!$D:$D,B12),"")</f>
        <v/>
      </c>
      <c r="G12" s="12">
        <v>50.0</v>
      </c>
      <c r="H12" s="12" t="str">
        <f t="shared" si="1"/>
        <v>No Data</v>
      </c>
      <c r="I12" s="12">
        <f>COUNTIFS(CLO_Assessment!$I:$I,D12,CLO_Assessment!$C:$C,A12)</f>
        <v>0</v>
      </c>
      <c r="J12" s="12">
        <f>COUNTIFS(CLO_Assessment!$I:$I,D12,CLO_Assessment!$N:$N,"&lt;&gt;",CLO_Assessment!$O:$O,"&lt;&gt;")</f>
        <v>0</v>
      </c>
    </row>
    <row r="13">
      <c r="A13" s="12">
        <v>2568.0</v>
      </c>
      <c r="B13" s="12" t="s">
        <v>13</v>
      </c>
      <c r="C13" s="12" t="s">
        <v>191</v>
      </c>
      <c r="D13" s="12" t="s">
        <v>192</v>
      </c>
      <c r="E13" s="12" t="s">
        <v>193</v>
      </c>
      <c r="F13" s="12" t="str">
        <f>IFERROR(AVERAGEIFS(CLO_Assessment!$M:$M,CLO_Assessment!$I:$I,D13,CLO_Assessment!$C:$C,A13,CLO_Assessment!$D:$D,B13),"")</f>
        <v/>
      </c>
      <c r="G13" s="12">
        <v>50.0</v>
      </c>
      <c r="H13" s="12" t="str">
        <f t="shared" si="1"/>
        <v>No Data</v>
      </c>
      <c r="I13" s="12">
        <f>COUNTIFS(CLO_Assessment!$I:$I,D13,CLO_Assessment!$C:$C,A13)</f>
        <v>0</v>
      </c>
      <c r="J13" s="12">
        <f>COUNTIFS(CLO_Assessment!$I:$I,D13,CLO_Assessment!$N:$N,"&lt;&gt;",CLO_Assessment!$O:$O,"&lt;&gt;")</f>
        <v>0</v>
      </c>
    </row>
    <row r="14">
      <c r="A14" s="12">
        <v>2568.0</v>
      </c>
      <c r="B14" s="12" t="s">
        <v>13</v>
      </c>
      <c r="C14" s="12" t="s">
        <v>191</v>
      </c>
      <c r="D14" s="12" t="s">
        <v>194</v>
      </c>
      <c r="E14" s="12" t="s">
        <v>195</v>
      </c>
      <c r="F14" s="12" t="str">
        <f>IFERROR(AVERAGEIFS(CLO_Assessment!$M:$M,CLO_Assessment!$I:$I,D14,CLO_Assessment!$C:$C,A14,CLO_Assessment!$D:$D,B14),"")</f>
        <v/>
      </c>
      <c r="G14" s="12">
        <v>50.0</v>
      </c>
      <c r="H14" s="12" t="str">
        <f t="shared" si="1"/>
        <v>No Data</v>
      </c>
      <c r="I14" s="12">
        <f>COUNTIFS(CLO_Assessment!$I:$I,D14,CLO_Assessment!$C:$C,A14)</f>
        <v>0</v>
      </c>
      <c r="J14" s="12">
        <f>COUNTIFS(CLO_Assessment!$I:$I,D14,CLO_Assessment!$N:$N,"&lt;&gt;",CLO_Assessment!$O:$O,"&lt;&gt;")</f>
        <v>0</v>
      </c>
    </row>
    <row r="15">
      <c r="A15" s="12">
        <v>2568.0</v>
      </c>
      <c r="B15" s="12" t="s">
        <v>13</v>
      </c>
      <c r="C15" s="12" t="s">
        <v>191</v>
      </c>
      <c r="D15" s="12" t="s">
        <v>196</v>
      </c>
      <c r="E15" s="12" t="s">
        <v>197</v>
      </c>
      <c r="F15" s="12" t="str">
        <f>IFERROR(AVERAGEIFS(CLO_Assessment!$M:$M,CLO_Assessment!$I:$I,D15,CLO_Assessment!$C:$C,A15,CLO_Assessment!$D:$D,B15),"")</f>
        <v/>
      </c>
      <c r="G15" s="12">
        <v>50.0</v>
      </c>
      <c r="H15" s="12" t="str">
        <f t="shared" si="1"/>
        <v>No Data</v>
      </c>
      <c r="I15" s="12">
        <f>COUNTIFS(CLO_Assessment!$I:$I,D15,CLO_Assessment!$C:$C,A15)</f>
        <v>0</v>
      </c>
      <c r="J15" s="12">
        <f>COUNTIFS(CLO_Assessment!$I:$I,D15,CLO_Assessment!$N:$N,"&lt;&gt;",CLO_Assessment!$O:$O,"&lt;&gt;")</f>
        <v>0</v>
      </c>
    </row>
    <row r="16">
      <c r="A16" s="12">
        <v>2568.0</v>
      </c>
      <c r="B16" s="12" t="s">
        <v>13</v>
      </c>
      <c r="C16" s="12" t="s">
        <v>198</v>
      </c>
      <c r="D16" s="12" t="s">
        <v>199</v>
      </c>
      <c r="E16" s="12" t="s">
        <v>200</v>
      </c>
      <c r="F16" s="12" t="str">
        <f>IFERROR(AVERAGEIFS(CLO_Assessment!$M:$M,CLO_Assessment!$I:$I,D16,CLO_Assessment!$C:$C,A16,CLO_Assessment!$D:$D,B16),"")</f>
        <v/>
      </c>
      <c r="G16" s="12">
        <v>50.0</v>
      </c>
      <c r="H16" s="12" t="str">
        <f t="shared" si="1"/>
        <v>No Data</v>
      </c>
      <c r="I16" s="12">
        <f>COUNTIFS(CLO_Assessment!$I:$I,D16,CLO_Assessment!$C:$C,A16)</f>
        <v>0</v>
      </c>
      <c r="J16" s="12">
        <f>COUNTIFS(CLO_Assessment!$I:$I,D16,CLO_Assessment!$N:$N,"&lt;&gt;",CLO_Assessment!$O:$O,"&lt;&gt;")</f>
        <v>0</v>
      </c>
    </row>
    <row r="17">
      <c r="A17" s="12">
        <v>2568.0</v>
      </c>
      <c r="B17" s="12" t="s">
        <v>13</v>
      </c>
      <c r="C17" s="12" t="s">
        <v>198</v>
      </c>
      <c r="D17" s="12" t="s">
        <v>201</v>
      </c>
      <c r="E17" s="12" t="s">
        <v>202</v>
      </c>
      <c r="F17" s="12" t="str">
        <f>IFERROR(AVERAGEIFS(CLO_Assessment!$M:$M,CLO_Assessment!$I:$I,D17,CLO_Assessment!$C:$C,A17,CLO_Assessment!$D:$D,B17),"")</f>
        <v/>
      </c>
      <c r="G17" s="12">
        <v>50.0</v>
      </c>
      <c r="H17" s="12" t="str">
        <f t="shared" si="1"/>
        <v>No Data</v>
      </c>
      <c r="I17" s="12">
        <f>COUNTIFS(CLO_Assessment!$I:$I,D17,CLO_Assessment!$C:$C,A17)</f>
        <v>0</v>
      </c>
      <c r="J17" s="12">
        <f>COUNTIFS(CLO_Assessment!$I:$I,D17,CLO_Assessment!$N:$N,"&lt;&gt;",CLO_Assessment!$O:$O,"&lt;&gt;")</f>
        <v>0</v>
      </c>
    </row>
    <row r="18">
      <c r="A18" s="12">
        <v>2568.0</v>
      </c>
      <c r="B18" s="12" t="s">
        <v>13</v>
      </c>
      <c r="C18" s="12" t="s">
        <v>198</v>
      </c>
      <c r="D18" s="12" t="s">
        <v>203</v>
      </c>
      <c r="E18" s="12" t="s">
        <v>204</v>
      </c>
      <c r="F18" s="12" t="str">
        <f>IFERROR(AVERAGEIFS(CLO_Assessment!$M:$M,CLO_Assessment!$I:$I,D18,CLO_Assessment!$C:$C,A18,CLO_Assessment!$D:$D,B18),"")</f>
        <v/>
      </c>
      <c r="G18" s="12">
        <v>50.0</v>
      </c>
      <c r="H18" s="12" t="str">
        <f t="shared" si="1"/>
        <v>No Data</v>
      </c>
      <c r="I18" s="12">
        <f>COUNTIFS(CLO_Assessment!$I:$I,D18,CLO_Assessment!$C:$C,A18)</f>
        <v>0</v>
      </c>
      <c r="J18" s="12">
        <f>COUNTIFS(CLO_Assessment!$I:$I,D18,CLO_Assessment!$N:$N,"&lt;&gt;",CLO_Assessment!$O:$O,"&lt;&gt;")</f>
        <v>0</v>
      </c>
    </row>
    <row r="19">
      <c r="A19" s="12">
        <v>2568.0</v>
      </c>
      <c r="B19" s="12" t="s">
        <v>13</v>
      </c>
      <c r="C19" s="12" t="s">
        <v>205</v>
      </c>
      <c r="D19" s="12" t="s">
        <v>206</v>
      </c>
      <c r="E19" s="12" t="s">
        <v>207</v>
      </c>
      <c r="F19" s="12" t="str">
        <f>IFERROR(AVERAGEIFS(CLO_Assessment!$M:$M,CLO_Assessment!$I:$I,D19,CLO_Assessment!$C:$C,A19,CLO_Assessment!$D:$D,B19),"")</f>
        <v/>
      </c>
      <c r="G19" s="12">
        <v>50.0</v>
      </c>
      <c r="H19" s="12" t="str">
        <f t="shared" si="1"/>
        <v>No Data</v>
      </c>
      <c r="I19" s="12">
        <f>COUNTIFS(CLO_Assessment!$I:$I,D19,CLO_Assessment!$C:$C,A19)</f>
        <v>0</v>
      </c>
      <c r="J19" s="12">
        <f>COUNTIFS(CLO_Assessment!$I:$I,D19,CLO_Assessment!$N:$N,"&lt;&gt;",CLO_Assessment!$O:$O,"&lt;&gt;")</f>
        <v>0</v>
      </c>
    </row>
    <row r="20">
      <c r="A20" s="12">
        <v>2568.0</v>
      </c>
      <c r="B20" s="12" t="s">
        <v>13</v>
      </c>
      <c r="C20" s="12" t="s">
        <v>205</v>
      </c>
      <c r="D20" s="12" t="s">
        <v>208</v>
      </c>
      <c r="E20" s="12" t="s">
        <v>209</v>
      </c>
      <c r="F20" s="12" t="str">
        <f>IFERROR(AVERAGEIFS(CLO_Assessment!$M:$M,CLO_Assessment!$I:$I,D20,CLO_Assessment!$C:$C,A20,CLO_Assessment!$D:$D,B20),"")</f>
        <v/>
      </c>
      <c r="G20" s="12">
        <v>50.0</v>
      </c>
      <c r="H20" s="12" t="str">
        <f t="shared" si="1"/>
        <v>No Data</v>
      </c>
      <c r="I20" s="12">
        <f>COUNTIFS(CLO_Assessment!$I:$I,D20,CLO_Assessment!$C:$C,A20)</f>
        <v>0</v>
      </c>
      <c r="J20" s="12">
        <f>COUNTIFS(CLO_Assessment!$I:$I,D20,CLO_Assessment!$N:$N,"&lt;&gt;",CLO_Assessment!$O:$O,"&lt;&gt;")</f>
        <v>0</v>
      </c>
    </row>
    <row r="21" ht="15.75" customHeight="1">
      <c r="A21" s="12">
        <v>2568.0</v>
      </c>
      <c r="B21" s="12" t="s">
        <v>13</v>
      </c>
      <c r="C21" s="12" t="s">
        <v>205</v>
      </c>
      <c r="D21" s="12" t="s">
        <v>210</v>
      </c>
      <c r="E21" s="12" t="s">
        <v>211</v>
      </c>
      <c r="F21" s="12" t="str">
        <f>IFERROR(AVERAGEIFS(CLO_Assessment!$M:$M,CLO_Assessment!$I:$I,D21,CLO_Assessment!$C:$C,A21,CLO_Assessment!$D:$D,B21),"")</f>
        <v/>
      </c>
      <c r="G21" s="12">
        <v>50.0</v>
      </c>
      <c r="H21" s="12" t="str">
        <f t="shared" si="1"/>
        <v>No Data</v>
      </c>
      <c r="I21" s="12">
        <f>COUNTIFS(CLO_Assessment!$I:$I,D21,CLO_Assessment!$C:$C,A21)</f>
        <v>0</v>
      </c>
      <c r="J21" s="12">
        <f>COUNTIFS(CLO_Assessment!$I:$I,D21,CLO_Assessment!$N:$N,"&lt;&gt;",CLO_Assessment!$O:$O,"&lt;&gt;")</f>
        <v>0</v>
      </c>
    </row>
    <row r="22" ht="15.75" customHeight="1">
      <c r="A22" s="12">
        <v>2568.0</v>
      </c>
      <c r="B22" s="12" t="s">
        <v>13</v>
      </c>
      <c r="C22" s="12" t="s">
        <v>156</v>
      </c>
      <c r="D22" s="12" t="s">
        <v>157</v>
      </c>
      <c r="E22" s="12" t="s">
        <v>212</v>
      </c>
      <c r="F22" s="12" t="str">
        <f>IFERROR(AVERAGEIFS(CLO_Assessment!$M:$M,CLO_Assessment!$I:$I,D22,CLO_Assessment!$C:$C,A22,CLO_Assessment!$D:$D,B22),"")</f>
        <v/>
      </c>
      <c r="G22" s="12">
        <v>50.0</v>
      </c>
      <c r="H22" s="12" t="str">
        <f t="shared" si="1"/>
        <v>No Data</v>
      </c>
      <c r="I22" s="12">
        <f>COUNTIFS(CLO_Assessment!$I:$I,D22,CLO_Assessment!$C:$C,A22)</f>
        <v>0</v>
      </c>
      <c r="J22" s="12">
        <f>COUNTIFS(CLO_Assessment!$I:$I,D22,CLO_Assessment!$N:$N,"&lt;&gt;",CLO_Assessment!$O:$O,"&lt;&gt;")</f>
        <v>0</v>
      </c>
    </row>
    <row r="23" ht="15.75" customHeight="1">
      <c r="A23" s="12">
        <v>2568.0</v>
      </c>
      <c r="B23" s="12" t="s">
        <v>13</v>
      </c>
      <c r="C23" s="12" t="s">
        <v>156</v>
      </c>
      <c r="D23" s="12" t="s">
        <v>213</v>
      </c>
      <c r="E23" s="12" t="s">
        <v>214</v>
      </c>
      <c r="F23" s="12" t="str">
        <f>IFERROR(AVERAGEIFS(CLO_Assessment!$M:$M,CLO_Assessment!$I:$I,D23,CLO_Assessment!$C:$C,A23,CLO_Assessment!$D:$D,B23),"")</f>
        <v/>
      </c>
      <c r="G23" s="12">
        <v>50.0</v>
      </c>
      <c r="H23" s="12" t="str">
        <f t="shared" si="1"/>
        <v>No Data</v>
      </c>
      <c r="I23" s="12">
        <f>COUNTIFS(CLO_Assessment!$I:$I,D23,CLO_Assessment!$C:$C,A23)</f>
        <v>0</v>
      </c>
      <c r="J23" s="12">
        <f>COUNTIFS(CLO_Assessment!$I:$I,D23,CLO_Assessment!$N:$N,"&lt;&gt;",CLO_Assessment!$O:$O,"&lt;&gt;")</f>
        <v>0</v>
      </c>
    </row>
    <row r="24" ht="15.75" customHeight="1">
      <c r="A24" s="12">
        <v>2568.0</v>
      </c>
      <c r="B24" s="12" t="s">
        <v>13</v>
      </c>
      <c r="C24" s="12" t="s">
        <v>215</v>
      </c>
      <c r="D24" s="12" t="s">
        <v>216</v>
      </c>
      <c r="E24" s="12" t="s">
        <v>217</v>
      </c>
      <c r="F24" s="12" t="str">
        <f>IFERROR(AVERAGEIFS(CLO_Assessment!$M:$M,CLO_Assessment!$I:$I,D24,CLO_Assessment!$C:$C,A24,CLO_Assessment!$D:$D,B24),"")</f>
        <v/>
      </c>
      <c r="G24" s="12">
        <v>50.0</v>
      </c>
      <c r="H24" s="12" t="str">
        <f t="shared" si="1"/>
        <v>No Data</v>
      </c>
      <c r="I24" s="12">
        <f>COUNTIFS(CLO_Assessment!$I:$I,D24,CLO_Assessment!$C:$C,A24)</f>
        <v>0</v>
      </c>
      <c r="J24" s="12">
        <f>COUNTIFS(CLO_Assessment!$I:$I,D24,CLO_Assessment!$N:$N,"&lt;&gt;",CLO_Assessment!$O:$O,"&lt;&gt;")</f>
        <v>0</v>
      </c>
    </row>
    <row r="25" ht="15.75" customHeight="1">
      <c r="A25" s="12">
        <v>2568.0</v>
      </c>
      <c r="B25" s="12" t="s">
        <v>13</v>
      </c>
      <c r="C25" s="12" t="s">
        <v>215</v>
      </c>
      <c r="D25" s="12" t="s">
        <v>218</v>
      </c>
      <c r="E25" s="12" t="s">
        <v>219</v>
      </c>
      <c r="F25" s="12" t="str">
        <f>IFERROR(AVERAGEIFS(CLO_Assessment!$M:$M,CLO_Assessment!$I:$I,D25,CLO_Assessment!$C:$C,A25,CLO_Assessment!$D:$D,B25),"")</f>
        <v/>
      </c>
      <c r="G25" s="12">
        <v>50.0</v>
      </c>
      <c r="H25" s="12" t="str">
        <f t="shared" si="1"/>
        <v>No Data</v>
      </c>
      <c r="I25" s="12">
        <f>COUNTIFS(CLO_Assessment!$I:$I,D25,CLO_Assessment!$C:$C,A25)</f>
        <v>0</v>
      </c>
      <c r="J25" s="12">
        <f>COUNTIFS(CLO_Assessment!$I:$I,D25,CLO_Assessment!$N:$N,"&lt;&gt;",CLO_Assessment!$O:$O,"&lt;&gt;")</f>
        <v>0</v>
      </c>
    </row>
    <row r="26" ht="15.75" customHeight="1">
      <c r="A26" s="12">
        <v>2568.0</v>
      </c>
      <c r="B26" s="12" t="s">
        <v>13</v>
      </c>
      <c r="C26" s="12" t="s">
        <v>220</v>
      </c>
      <c r="D26" s="12" t="s">
        <v>221</v>
      </c>
      <c r="E26" s="12" t="s">
        <v>222</v>
      </c>
      <c r="F26" s="12" t="str">
        <f>IFERROR(AVERAGEIFS(CLO_Assessment!$M:$M,CLO_Assessment!$I:$I,D26,CLO_Assessment!$C:$C,A26,CLO_Assessment!$D:$D,B26),"")</f>
        <v/>
      </c>
      <c r="G26" s="12">
        <v>50.0</v>
      </c>
      <c r="H26" s="12" t="str">
        <f t="shared" si="1"/>
        <v>No Data</v>
      </c>
      <c r="I26" s="12">
        <f>COUNTIFS(CLO_Assessment!$I:$I,D26,CLO_Assessment!$C:$C,A26)</f>
        <v>0</v>
      </c>
      <c r="J26" s="12">
        <f>COUNTIFS(CLO_Assessment!$I:$I,D26,CLO_Assessment!$N:$N,"&lt;&gt;",CLO_Assessment!$O:$O,"&lt;&gt;")</f>
        <v>0</v>
      </c>
    </row>
    <row r="27" ht="15.75" customHeight="1">
      <c r="A27" s="12">
        <v>2568.0</v>
      </c>
      <c r="B27" s="12" t="s">
        <v>13</v>
      </c>
      <c r="C27" s="12" t="s">
        <v>220</v>
      </c>
      <c r="D27" s="12" t="s">
        <v>223</v>
      </c>
      <c r="E27" s="12" t="s">
        <v>224</v>
      </c>
      <c r="F27" s="12" t="str">
        <f>IFERROR(AVERAGEIFS(CLO_Assessment!$M:$M,CLO_Assessment!$I:$I,D27,CLO_Assessment!$C:$C,A27,CLO_Assessment!$D:$D,B27),"")</f>
        <v/>
      </c>
      <c r="G27" s="12">
        <v>50.0</v>
      </c>
      <c r="H27" s="12" t="str">
        <f t="shared" si="1"/>
        <v>No Data</v>
      </c>
      <c r="I27" s="12">
        <f>COUNTIFS(CLO_Assessment!$I:$I,D27,CLO_Assessment!$C:$C,A27)</f>
        <v>0</v>
      </c>
      <c r="J27" s="12">
        <f>COUNTIFS(CLO_Assessment!$I:$I,D27,CLO_Assessment!$N:$N,"&lt;&gt;",CLO_Assessment!$O:$O,"&lt;&gt;")</f>
        <v>0</v>
      </c>
    </row>
    <row r="28" ht="15.75" customHeight="1">
      <c r="A28" s="12">
        <v>2568.0</v>
      </c>
      <c r="B28" s="12" t="s">
        <v>13</v>
      </c>
      <c r="C28" s="12" t="s">
        <v>225</v>
      </c>
      <c r="D28" s="12" t="s">
        <v>226</v>
      </c>
      <c r="E28" s="12" t="s">
        <v>227</v>
      </c>
      <c r="F28" s="12" t="str">
        <f>IFERROR(AVERAGEIFS(CLO_Assessment!$M:$M,CLO_Assessment!$I:$I,D28,CLO_Assessment!$C:$C,A28,CLO_Assessment!$D:$D,B28),"")</f>
        <v/>
      </c>
      <c r="G28" s="12">
        <v>50.0</v>
      </c>
      <c r="H28" s="12" t="str">
        <f t="shared" si="1"/>
        <v>No Data</v>
      </c>
      <c r="I28" s="12">
        <f>COUNTIFS(CLO_Assessment!$I:$I,D28,CLO_Assessment!$C:$C,A28)</f>
        <v>0</v>
      </c>
      <c r="J28" s="12">
        <f>COUNTIFS(CLO_Assessment!$I:$I,D28,CLO_Assessment!$N:$N,"&lt;&gt;",CLO_Assessment!$O:$O,"&lt;&gt;")</f>
        <v>0</v>
      </c>
    </row>
    <row r="29" ht="15.75" customHeight="1">
      <c r="A29" s="12">
        <v>2568.0</v>
      </c>
      <c r="B29" s="12" t="s">
        <v>13</v>
      </c>
      <c r="C29" s="12" t="s">
        <v>225</v>
      </c>
      <c r="D29" s="12" t="s">
        <v>228</v>
      </c>
      <c r="E29" s="12" t="s">
        <v>229</v>
      </c>
      <c r="F29" s="12" t="str">
        <f>IFERROR(AVERAGEIFS(CLO_Assessment!$M:$M,CLO_Assessment!$I:$I,D29,CLO_Assessment!$C:$C,A29,CLO_Assessment!$D:$D,B29),"")</f>
        <v/>
      </c>
      <c r="G29" s="12">
        <v>50.0</v>
      </c>
      <c r="H29" s="12" t="str">
        <f t="shared" si="1"/>
        <v>No Data</v>
      </c>
      <c r="I29" s="12">
        <f>COUNTIFS(CLO_Assessment!$I:$I,D29,CLO_Assessment!$C:$C,A29)</f>
        <v>0</v>
      </c>
      <c r="J29" s="12">
        <f>COUNTIFS(CLO_Assessment!$I:$I,D29,CLO_Assessment!$N:$N,"&lt;&gt;",CLO_Assessment!$O:$O,"&lt;&gt;")</f>
        <v>0</v>
      </c>
    </row>
    <row r="30" ht="15.75" customHeight="1">
      <c r="A30" s="12">
        <v>2568.0</v>
      </c>
      <c r="B30" s="12" t="s">
        <v>13</v>
      </c>
      <c r="C30" s="12" t="s">
        <v>230</v>
      </c>
      <c r="D30" s="12" t="s">
        <v>231</v>
      </c>
      <c r="E30" s="12" t="s">
        <v>232</v>
      </c>
      <c r="F30" s="12" t="str">
        <f>IFERROR(AVERAGEIFS(CLO_Assessment!$M:$M,CLO_Assessment!$I:$I,D30,CLO_Assessment!$C:$C,A30,CLO_Assessment!$D:$D,B30),"")</f>
        <v/>
      </c>
      <c r="G30" s="12">
        <v>50.0</v>
      </c>
      <c r="H30" s="12" t="str">
        <f t="shared" si="1"/>
        <v>No Data</v>
      </c>
      <c r="I30" s="12">
        <f>COUNTIFS(CLO_Assessment!$I:$I,D30,CLO_Assessment!$C:$C,A30)</f>
        <v>0</v>
      </c>
      <c r="J30" s="12">
        <f>COUNTIFS(CLO_Assessment!$I:$I,D30,CLO_Assessment!$N:$N,"&lt;&gt;",CLO_Assessment!$O:$O,"&lt;&gt;")</f>
        <v>0</v>
      </c>
    </row>
    <row r="31" ht="15.75" customHeight="1">
      <c r="A31" s="12">
        <v>2568.0</v>
      </c>
      <c r="B31" s="12" t="s">
        <v>13</v>
      </c>
      <c r="C31" s="12" t="s">
        <v>230</v>
      </c>
      <c r="D31" s="12" t="s">
        <v>233</v>
      </c>
      <c r="E31" s="12" t="s">
        <v>234</v>
      </c>
      <c r="F31" s="12" t="str">
        <f>IFERROR(AVERAGEIFS(CLO_Assessment!$M:$M,CLO_Assessment!$I:$I,D31,CLO_Assessment!$C:$C,A31,CLO_Assessment!$D:$D,B31),"")</f>
        <v/>
      </c>
      <c r="G31" s="12">
        <v>50.0</v>
      </c>
      <c r="H31" s="12" t="str">
        <f t="shared" si="1"/>
        <v>No Data</v>
      </c>
      <c r="I31" s="12">
        <f>COUNTIFS(CLO_Assessment!$I:$I,D31,CLO_Assessment!$C:$C,A31)</f>
        <v>0</v>
      </c>
      <c r="J31" s="12">
        <f>COUNTIFS(CLO_Assessment!$I:$I,D31,CLO_Assessment!$N:$N,"&lt;&gt;",CLO_Assessment!$O:$O,"&lt;&gt;")</f>
        <v>0</v>
      </c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3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H2:H31">
    <cfRule type="expression" dxfId="4" priority="2">
      <formula>H2="Pass"</formula>
    </cfRule>
  </conditionalFormatting>
  <conditionalFormatting sqref="H2:H31">
    <cfRule type="expression" dxfId="5" priority="3">
      <formula>H2="Improve"</formula>
    </cfRule>
  </conditionalFormatting>
  <conditionalFormatting sqref="H2:H31">
    <cfRule type="expression" dxfId="6" priority="4">
      <formula>H2="No Data"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44.38"/>
    <col customWidth="1" min="3" max="26" width="8.63"/>
  </cols>
  <sheetData>
    <row r="1" ht="27.75" customHeight="1">
      <c r="A1" s="19" t="s">
        <v>250</v>
      </c>
      <c r="B1" s="19" t="s">
        <v>251</v>
      </c>
    </row>
    <row r="2">
      <c r="A2" s="12" t="s">
        <v>127</v>
      </c>
      <c r="B2" s="12" t="s">
        <v>2</v>
      </c>
    </row>
    <row r="3">
      <c r="A3" s="12" t="s">
        <v>252</v>
      </c>
      <c r="B3" s="12">
        <v>2568.0</v>
      </c>
    </row>
    <row r="4">
      <c r="A4" s="12" t="s">
        <v>253</v>
      </c>
      <c r="B4" s="12" t="s">
        <v>13</v>
      </c>
    </row>
    <row r="5">
      <c r="A5" s="12" t="s">
        <v>254</v>
      </c>
      <c r="B5" s="10">
        <v>70.0</v>
      </c>
    </row>
    <row r="6">
      <c r="A6" s="12" t="s">
        <v>255</v>
      </c>
      <c r="B6" s="12" t="s">
        <v>256</v>
      </c>
    </row>
    <row r="7">
      <c r="A7" s="12" t="s">
        <v>257</v>
      </c>
      <c r="B7" s="12" t="s">
        <v>258</v>
      </c>
    </row>
    <row r="8">
      <c r="A8" s="12" t="s">
        <v>259</v>
      </c>
      <c r="B8" s="12">
        <v>5.0</v>
      </c>
    </row>
    <row r="9">
      <c r="A9" s="12"/>
      <c r="B9" s="12"/>
    </row>
    <row r="10">
      <c r="A10" s="12"/>
      <c r="B10" s="12"/>
    </row>
    <row r="11">
      <c r="A11" s="12"/>
      <c r="B11" s="12"/>
    </row>
    <row r="12">
      <c r="A12" s="12"/>
      <c r="B12" s="12"/>
    </row>
    <row r="13">
      <c r="A13" s="12"/>
      <c r="B13" s="12"/>
    </row>
    <row r="14">
      <c r="A14" s="12"/>
      <c r="B14" s="12"/>
    </row>
    <row r="15">
      <c r="A15" s="12"/>
      <c r="B15" s="12"/>
    </row>
    <row r="16">
      <c r="A16" s="12"/>
      <c r="B16" s="12"/>
    </row>
    <row r="17">
      <c r="A17" s="12"/>
      <c r="B17" s="12"/>
    </row>
    <row r="18">
      <c r="A18" s="12"/>
      <c r="B18" s="12"/>
    </row>
    <row r="19">
      <c r="A19" s="12"/>
      <c r="B19" s="12"/>
    </row>
    <row r="20">
      <c r="A20" s="12"/>
      <c r="B20" s="12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